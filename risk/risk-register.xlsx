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isks" sheetId="2" state="visible" r:id="rId2"/>
  </sheets>
  <definedNames>
    <definedName name="_xlnm._FilterDatabase" localSheetId="1" hidden="1">'Risks'!$A$1:$AE$19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name val="Arial"/>
        <b val="1"/>
        <color rgb="00FFFFFF"/>
      </font>
      <fill>
        <patternFill patternType="solid">
          <fgColor rgb="007A1020"/>
        </patternFill>
      </fill>
    </dxf>
    <dxf>
      <font>
        <name val="Arial"/>
        <b val="1"/>
        <color rgb="00FFFFFF"/>
      </font>
      <fill>
        <patternFill patternType="solid">
          <fgColor rgb="00E4572E"/>
        </patternFill>
      </fill>
    </dxf>
    <dxf>
      <font>
        <name val="Arial"/>
        <b val="1"/>
        <color rgb="001A1A1A"/>
      </font>
      <fill>
        <patternFill patternType="solid">
          <fgColor rgb="00F4B942"/>
        </patternFill>
      </fill>
    </dxf>
    <dxf>
      <font>
        <name val="Arial"/>
        <b val="1"/>
        <color rgb="00FFFFFF"/>
      </font>
      <fill>
        <patternFill patternType="solid">
          <fgColor rgb="005DA2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Enterprise Cybersecurity Risk Register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Method</t>
        </is>
      </c>
      <c r="B6" s="6" t="inlineStr">
        <is>
          <t>RSK-MTH-001 (risk/risk-methodology.md): 1-5 likelihood x 1-5 impact, adapted from NIST SP 800-30 Rev. 1</t>
        </is>
      </c>
    </row>
    <row r="7">
      <c r="A7" s="3" t="inlineStr">
        <is>
          <t>Formulas</t>
        </is>
      </c>
      <c r="B7" s="6" t="inlineStr">
        <is>
          <t>Score = Likelihood x Impact. Rating = IF(score&gt;=20,Critical, &gt;=10 High, &gt;=5 Moderate, else Low). Edit L/I and scores recalculate</t>
        </is>
      </c>
    </row>
    <row r="8">
      <c r="A8" s="3" t="inlineStr">
        <is>
          <t>Three states</t>
        </is>
      </c>
      <c r="B8" s="6" t="inlineStr">
        <is>
          <t>Inherent (no controls) -&gt; Current (controls as tested; failed controls earn no credit) -&gt; Residual (target after treatment)</t>
        </is>
      </c>
    </row>
    <row r="9">
      <c r="A9" s="3" t="inlineStr">
        <is>
          <t>Rationale</t>
        </is>
      </c>
      <c r="B9" s="6" t="inlineStr">
        <is>
          <t>Every L and I value has a written rationale (right-most columns). A score without rationale is not accepted</t>
        </is>
      </c>
    </row>
    <row r="10">
      <c r="A10" s="3" t="inlineStr">
        <is>
          <t>Limitation</t>
        </is>
      </c>
      <c r="B10" s="6" t="inlineStr">
        <is>
          <t>Ordinal scales: multiplication is a prioritization convention, not a measurement. Ties broken by Impact, then Likelihood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21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  <col width="20" customWidth="1" min="16" max="16"/>
    <col width="40" customWidth="1" min="17" max="17"/>
    <col width="16" customWidth="1" min="18" max="18"/>
    <col width="16" customWidth="1" min="19" max="19"/>
    <col width="21" customWidth="1" min="20" max="20"/>
    <col width="16" customWidth="1" min="21" max="21"/>
    <col width="16" customWidth="1" min="22" max="22"/>
    <col width="16" customWidth="1" min="23" max="23"/>
    <col width="16" customWidth="1" min="24" max="24"/>
    <col width="23" customWidth="1" min="25" max="25"/>
    <col width="18" customWidth="1" min="26" max="26"/>
    <col width="16" customWidth="1" min="27" max="27"/>
    <col width="16" customWidth="1" min="28" max="28"/>
    <col width="40" customWidth="1" min="29" max="29"/>
    <col width="40" customWidth="1" min="30" max="30"/>
    <col width="40" customWidth="1" min="31" max="31"/>
  </cols>
  <sheetData>
    <row r="1" ht="32" customHeight="1">
      <c r="A1" s="7" t="inlineStr">
        <is>
          <t>Risk ID</t>
        </is>
      </c>
      <c r="B1" s="7" t="inlineStr">
        <is>
          <t>Risk Title</t>
        </is>
      </c>
      <c r="C1" s="7" t="inlineStr">
        <is>
          <t>Risk Description</t>
        </is>
      </c>
      <c r="D1" s="7" t="inlineStr">
        <is>
          <t>Asset / Process</t>
        </is>
      </c>
      <c r="E1" s="7" t="inlineStr">
        <is>
          <t>Threat</t>
        </is>
      </c>
      <c r="F1" s="7" t="inlineStr">
        <is>
          <t>Vulnerability</t>
        </is>
      </c>
      <c r="G1" s="7" t="inlineStr">
        <is>
          <t>Existing Controls</t>
        </is>
      </c>
      <c r="H1" s="7" t="inlineStr">
        <is>
          <t>Inherent Likelihood</t>
        </is>
      </c>
      <c r="I1" s="7" t="inlineStr">
        <is>
          <t>Inherent Impact</t>
        </is>
      </c>
      <c r="J1" s="7" t="inlineStr">
        <is>
          <t>Inherent Score</t>
        </is>
      </c>
      <c r="K1" s="7" t="inlineStr">
        <is>
          <t>Inherent Risk</t>
        </is>
      </c>
      <c r="L1" s="7" t="inlineStr">
        <is>
          <t>Current Likelihood</t>
        </is>
      </c>
      <c r="M1" s="7" t="inlineStr">
        <is>
          <t>Current Impact</t>
        </is>
      </c>
      <c r="N1" s="7" t="inlineStr">
        <is>
          <t>Current Score</t>
        </is>
      </c>
      <c r="O1" s="7" t="inlineStr">
        <is>
          <t>Current Risk</t>
        </is>
      </c>
      <c r="P1" s="7" t="inlineStr">
        <is>
          <t>Treatment Strategy</t>
        </is>
      </c>
      <c r="Q1" s="7" t="inlineStr">
        <is>
          <t>Planned Mitigation</t>
        </is>
      </c>
      <c r="R1" s="7" t="inlineStr">
        <is>
          <t>Risk Owner</t>
        </is>
      </c>
      <c r="S1" s="7" t="inlineStr">
        <is>
          <t>Target Date</t>
        </is>
      </c>
      <c r="T1" s="7" t="inlineStr">
        <is>
          <t>Residual Likelihood</t>
        </is>
      </c>
      <c r="U1" s="7" t="inlineStr">
        <is>
          <t>Residual Impact</t>
        </is>
      </c>
      <c r="V1" s="7" t="inlineStr">
        <is>
          <t>Residual Score</t>
        </is>
      </c>
      <c r="W1" s="7" t="inlineStr">
        <is>
          <t>Residual Risk</t>
        </is>
      </c>
      <c r="X1" s="7" t="inlineStr">
        <is>
          <t>Status</t>
        </is>
      </c>
      <c r="Y1" s="7" t="inlineStr">
        <is>
          <t>Related NIST Controls</t>
        </is>
      </c>
      <c r="Z1" s="7" t="inlineStr">
        <is>
          <t>Related Findings</t>
        </is>
      </c>
      <c r="AA1" s="7" t="inlineStr">
        <is>
          <t>Related POA&amp;M</t>
        </is>
      </c>
      <c r="AB1" s="7" t="inlineStr">
        <is>
          <t>Review Date</t>
        </is>
      </c>
      <c r="AC1" s="7" t="inlineStr">
        <is>
          <t>Rationale: Inherent</t>
        </is>
      </c>
      <c r="AD1" s="7" t="inlineStr">
        <is>
          <t>Rationale: Current</t>
        </is>
      </c>
      <c r="AE1" s="7" t="inlineStr">
        <is>
          <t>Rationale: Residual</t>
        </is>
      </c>
    </row>
    <row r="2">
      <c r="A2" s="8" t="inlineStr">
        <is>
          <t>RISK-001</t>
        </is>
      </c>
      <c r="B2" s="9" t="inlineStr">
        <is>
          <t>Privileged cloud or identity admin account misused or compromised</t>
        </is>
      </c>
      <c r="C2" s="9" t="inlineStr">
        <is>
          <t>An attacker phishes or steals the session of a user holding production AdministratorAccess, Okta Super Admin, or GitHub owner, then exfiltrates PHI or destroys infrastructure.</t>
        </is>
      </c>
      <c r="D2" s="9" t="inlineStr">
        <is>
          <t>AWS wcp-prod admin plane, Okta tenant, GitHub org</t>
        </is>
      </c>
      <c r="E2" s="9" t="inlineStr">
        <is>
          <t>External actor (phishing, session-token theft) or malicious/negligent insider</t>
        </is>
      </c>
      <c r="F2" s="9" t="inlineStr">
        <is>
          <t>Excess admin grants; admin performed from daily-use accounts; no JIT elevation</t>
        </is>
      </c>
      <c r="G2" s="9" t="inlineStr">
        <is>
          <t>Okta SSO+MFA for most users; CloudTrail and GuardDuty; MDR 24x7; Vault Lock on backups</t>
        </is>
      </c>
      <c r="H2" s="8" t="n">
        <v>4</v>
      </c>
      <c r="I2" s="8" t="n">
        <v>5</v>
      </c>
      <c r="J2" s="8">
        <f>H2*I2</f>
        <v/>
      </c>
      <c r="K2" s="8">
        <f>IF(J2="","",IF(J2&gt;=20,"Critical",IF(J2&gt;=10,"High",IF(J2&gt;=5,"Moderate","Low"))))</f>
        <v/>
      </c>
      <c r="L2" s="8" t="n">
        <v>3</v>
      </c>
      <c r="M2" s="8" t="n">
        <v>5</v>
      </c>
      <c r="N2" s="8">
        <f>L2*M2</f>
        <v/>
      </c>
      <c r="O2" s="8">
        <f>IF(N2="","",IF(N2&gt;=20,"Critical",IF(N2&gt;=10,"High",IF(N2&gt;=5,"Moderate","Low"))))</f>
        <v/>
      </c>
      <c r="P2" s="8" t="inlineStr">
        <is>
          <t>Mitigate</t>
        </is>
      </c>
      <c r="Q2" s="9" t="inlineStr">
        <is>
          <t>Remove excess grants; -adm accounts; JIT elevation; GitHub owner cap (POAM-003)</t>
        </is>
      </c>
      <c r="R2" s="8" t="inlineStr">
        <is>
          <t>Samir Haddad (CTO)</t>
        </is>
      </c>
      <c r="S2" s="10" t="n">
        <v>46331</v>
      </c>
      <c r="T2" s="8" t="n">
        <v>2</v>
      </c>
      <c r="U2" s="8" t="n">
        <v>4</v>
      </c>
      <c r="V2" s="8">
        <f>T2*U2</f>
        <v/>
      </c>
      <c r="W2" s="8">
        <f>IF(V2="","",IF(V2&gt;=20,"Critical",IF(V2&gt;=10,"High",IF(V2&gt;=5,"Moderate","Low"))))</f>
        <v/>
      </c>
      <c r="X2" s="8" t="inlineStr">
        <is>
          <t>Treatment in progress</t>
        </is>
      </c>
      <c r="Y2" s="8" t="inlineStr">
        <is>
          <t>AC-6; AC-6(2); AC-6(5); IA-2(1)</t>
        </is>
      </c>
      <c r="Z2" s="8" t="inlineStr">
        <is>
          <t>FIND-003</t>
        </is>
      </c>
      <c r="AA2" s="8" t="inlineStr">
        <is>
          <t>POAM-003</t>
        </is>
      </c>
      <c r="AB2" s="10" t="n">
        <v>46283</v>
      </c>
      <c r="AC2" s="9" t="inlineStr">
        <is>
          <t>L4: identity-based intrusion is the dominant cloud attack path. I5: admin reaches all PHI (&gt;50k records) and can cause an outage over 24h.</t>
        </is>
      </c>
      <c r="AD2" s="9" t="inlineStr">
        <is>
          <t>L3: MFA and monitoring raise attacker effort, but 6 unjustified or daily-account admin assignments existed. I5 unchanged: any admin can still reach everything.</t>
        </is>
      </c>
      <c r="AE2" s="9" t="inlineStr">
        <is>
          <t>L2: -adm accounts with phishing-resistant MFA plus approval-gated JIT elevation. I4: time-boxed sessions and Vault Lock limit destructive impact and dwell time, but exfiltration during a session is still possible.</t>
        </is>
      </c>
    </row>
    <row r="3">
      <c r="A3" s="8" t="inlineStr">
        <is>
          <t>RISK-002</t>
        </is>
      </c>
      <c r="B3" s="9" t="inlineStr">
        <is>
          <t>Unauthorized access by former employees or contractors</t>
        </is>
      </c>
      <c r="C3" s="9" t="inlineStr">
        <is>
          <t>A departed worker's still-active account is used, by them or by an attacker, to access PHI or financial systems.</t>
        </is>
      </c>
      <c r="D3" s="9" t="inlineStr">
        <is>
          <t>All in-scope systems, including Ledgerline and the vendor portal</t>
        </is>
      </c>
      <c r="E3" s="9" t="inlineStr">
        <is>
          <t>Former workforce member (disgruntled or careless), or an attacker using an orphaned account</t>
        </is>
      </c>
      <c r="F3" s="9" t="inlineStr">
        <is>
          <t>Manual de-provisioning; local accounts outside SSO; contractor end dates not enforced</t>
        </is>
      </c>
      <c r="G3" s="9" t="inlineStr">
        <is>
          <t>Okta deactivation by IT ticket; asset recovery at exit</t>
        </is>
      </c>
      <c r="H3" s="8" t="n">
        <v>4</v>
      </c>
      <c r="I3" s="8" t="n">
        <v>4</v>
      </c>
      <c r="J3" s="8">
        <f>H3*I3</f>
        <v/>
      </c>
      <c r="K3" s="8">
        <f>IF(J3="","",IF(J3&gt;=20,"Critical",IF(J3&gt;=10,"High",IF(J3&gt;=5,"Moderate","Low"))))</f>
        <v/>
      </c>
      <c r="L3" s="8" t="n">
        <v>4</v>
      </c>
      <c r="M3" s="8" t="n">
        <v>4</v>
      </c>
      <c r="N3" s="8">
        <f>L3*M3</f>
        <v/>
      </c>
      <c r="O3" s="8">
        <f>IF(N3="","",IF(N3&gt;=20,"Critical",IF(N3&gt;=10,"High",IF(N3&gt;=5,"Moderate","Low"))))</f>
        <v/>
      </c>
      <c r="P3" s="8" t="inlineStr">
        <is>
          <t>Mitigate</t>
        </is>
      </c>
      <c r="Q3" s="9" t="inlineStr">
        <is>
          <t>HR-to-Okta reconciliation with auto-ticketing; contractor expiry; local-account cleanup (POAM-001, POAM-006)</t>
        </is>
      </c>
      <c r="R3" s="8" t="inlineStr">
        <is>
          <t>Alicia Moreno (CISO)</t>
        </is>
      </c>
      <c r="S3" s="10" t="n">
        <v>46275</v>
      </c>
      <c r="T3" s="8" t="n">
        <v>2</v>
      </c>
      <c r="U3" s="8" t="n">
        <v>4</v>
      </c>
      <c r="V3" s="8">
        <f>T3*U3</f>
        <v/>
      </c>
      <c r="W3" s="8">
        <f>IF(V3="","",IF(V3&gt;=20,"Critical",IF(V3&gt;=10,"High",IF(V3&gt;=5,"Moderate","Low"))))</f>
        <v/>
      </c>
      <c r="X3" s="8" t="inlineStr">
        <is>
          <t>Treated (residual achieved; monitoring)</t>
        </is>
      </c>
      <c r="Y3" s="8" t="inlineStr">
        <is>
          <t>AC-2; AC-2(1); AC-2(3); PS-4; PS-7</t>
        </is>
      </c>
      <c r="Z3" s="8" t="inlineStr">
        <is>
          <t>FIND-001; FIND-006</t>
        </is>
      </c>
      <c r="AA3" s="8" t="inlineStr">
        <is>
          <t>POAM-001; POAM-006</t>
        </is>
      </c>
      <c r="AB3" s="10" t="n">
        <v>46283</v>
      </c>
      <c r="AC3" s="9" t="inlineStr">
        <is>
          <t>L4: turnover of about 38/year plus contractors, and orphaned accounts are a well-known misuse path. I4: AWS admin or PHI DB access affects 500–50,000+ records; limited by role mix.</t>
        </is>
      </c>
      <c r="AD3" s="9" t="inlineStr">
        <is>
          <t>L4 unchanged: the control failed testing (2 of 19 not disabled, 1 post-termination sign-in, local admin account active 95 days) and earns no credit. I4.</t>
        </is>
      </c>
      <c r="AE3" s="9" t="inlineStr">
        <is>
          <t>L2: daily reconciliation job, contractor account expiry, and a local-account inventory, validated 7 of 7. I4 unchanged: a missed account could still reach sensitive data.</t>
        </is>
      </c>
    </row>
    <row r="4">
      <c r="A4" s="8" t="inlineStr">
        <is>
          <t>RISK-003</t>
        </is>
      </c>
      <c r="B4" s="9" t="inlineStr">
        <is>
          <t>Account takeover through MFA gaps</t>
        </is>
      </c>
      <c r="C4" s="9" t="inlineStr">
        <is>
          <t>An attacker obtains the password of an MFA-exempt account and signs in directly, inheriting that user's access, including identity administration.</t>
        </is>
      </c>
      <c r="D4" s="9" t="inlineStr">
        <is>
          <t>Okta and all federated systems</t>
        </is>
      </c>
      <c r="E4" s="9" t="inlineStr">
        <is>
          <t>Credential phishing, password spraying, reuse of breached credentials</t>
        </is>
      </c>
      <c r="F4" s="9" t="inlineStr">
        <is>
          <t>MFA exemption group (9 humans incl. an Okta Super Admin); IAM user without MFA</t>
        </is>
      </c>
      <c r="G4" s="9" t="inlineStr">
        <is>
          <t>Global MFA policy for 97% of users; replay-resistant authenticators; Okta ThreatInsight</t>
        </is>
      </c>
      <c r="H4" s="8" t="n">
        <v>4</v>
      </c>
      <c r="I4" s="8" t="n">
        <v>5</v>
      </c>
      <c r="J4" s="8">
        <f>H4*I4</f>
        <v/>
      </c>
      <c r="K4" s="8">
        <f>IF(J4="","",IF(J4&gt;=20,"Critical",IF(J4&gt;=10,"High",IF(J4&gt;=5,"Moderate","Low"))))</f>
        <v/>
      </c>
      <c r="L4" s="8" t="n">
        <v>3</v>
      </c>
      <c r="M4" s="8" t="n">
        <v>5</v>
      </c>
      <c r="N4" s="8">
        <f>L4*M4</f>
        <v/>
      </c>
      <c r="O4" s="8">
        <f>IF(N4="","",IF(N4&gt;=20,"Critical",IF(N4&gt;=10,"High",IF(N4&gt;=5,"Moderate","Low"))))</f>
        <v/>
      </c>
      <c r="P4" s="8" t="inlineStr">
        <is>
          <t>Mitigate</t>
        </is>
      </c>
      <c r="Q4" s="9" t="inlineStr">
        <is>
          <t>Delete the exemption policy; enroll all users; phishing-resistant admin MFA; exception workflow (POAM-002)</t>
        </is>
      </c>
      <c r="R4" s="8" t="inlineStr">
        <is>
          <t>Alicia Moreno (CISO)</t>
        </is>
      </c>
      <c r="S4" s="10" t="n">
        <v>46270</v>
      </c>
      <c r="T4" s="8" t="n">
        <v>2</v>
      </c>
      <c r="U4" s="8" t="n">
        <v>4</v>
      </c>
      <c r="V4" s="8">
        <f>T4*U4</f>
        <v/>
      </c>
      <c r="W4" s="8">
        <f>IF(V4="","",IF(V4&gt;=20,"Critical",IF(V4&gt;=10,"High",IF(V4&gt;=5,"Moderate","Low"))))</f>
        <v/>
      </c>
      <c r="X4" s="8" t="inlineStr">
        <is>
          <t>Treated (residual achieved; monitoring)</t>
        </is>
      </c>
      <c r="Y4" s="8" t="inlineStr">
        <is>
          <t>IA-2(1); IA-2(2); IA-2(8)</t>
        </is>
      </c>
      <c r="Z4" s="8" t="inlineStr">
        <is>
          <t>FIND-002</t>
        </is>
      </c>
      <c r="AA4" s="8" t="inlineStr">
        <is>
          <t>POAM-002</t>
        </is>
      </c>
      <c r="AB4" s="10" t="n">
        <v>46283</v>
      </c>
      <c r="AC4" s="9" t="inlineStr">
        <is>
          <t>L4: phishing is the leading initial-access vector. I5: federation reaches AWS prod and PHI.</t>
        </is>
      </c>
      <c r="AD4" s="9" t="inlineStr">
        <is>
          <t>L3: MFA covers 97%, a partial control. I5: an exempt Okta Super Admin could reach everything.</t>
        </is>
      </c>
      <c r="AE4" s="9" t="inlineStr">
        <is>
          <t>L2: no exemptions; phishing-resistant MFA for admins; token theft still possible. I4: least-privilege work narrows what one account reaches.</t>
        </is>
      </c>
    </row>
    <row r="5">
      <c r="A5" s="8" t="inlineStr">
        <is>
          <t>RISK-004</t>
        </is>
      </c>
      <c r="B5" s="9" t="inlineStr">
        <is>
          <t>Access creep from ineffective recertification</t>
        </is>
      </c>
      <c r="C5" s="9" t="inlineStr">
        <is>
          <t>Users accumulate access beyond need over time, increasing the blast radius of any compromise or misuse.</t>
        </is>
      </c>
      <c r="D5" s="9" t="inlineStr">
        <is>
          <t>Privileged and PHI entitlements across 9 systems</t>
        </is>
      </c>
      <c r="E5" s="9" t="inlineStr">
        <is>
          <t>Insider misuse; attacker leveraging over-privileged accounts</t>
        </is>
      </c>
      <c r="F5" s="9" t="inlineStr">
        <is>
          <t>Rubber-stamp reviews; privileged systems out of review scope; no re-baseline on transfer</t>
        </is>
      </c>
      <c r="G5" s="9" t="inlineStr">
        <is>
          <t>Quarterly Okta app certification (limited scope)</t>
        </is>
      </c>
      <c r="H5" s="8" t="n">
        <v>4</v>
      </c>
      <c r="I5" s="8" t="n">
        <v>3</v>
      </c>
      <c r="J5" s="8">
        <f>H5*I5</f>
        <v/>
      </c>
      <c r="K5" s="8">
        <f>IF(J5="","",IF(J5&gt;=20,"Critical",IF(J5&gt;=10,"High",IF(J5&gt;=5,"Moderate","Low"))))</f>
        <v/>
      </c>
      <c r="L5" s="8" t="n">
        <v>4</v>
      </c>
      <c r="M5" s="8" t="n">
        <v>3</v>
      </c>
      <c r="N5" s="8">
        <f>L5*M5</f>
        <v/>
      </c>
      <c r="O5" s="8">
        <f>IF(N5="","",IF(N5&gt;=20,"Critical",IF(N5&gt;=10,"High",IF(N5&gt;=5,"Moderate","Low"))))</f>
        <v/>
      </c>
      <c r="P5" s="8" t="inlineStr">
        <is>
          <t>Mitigate</t>
        </is>
      </c>
      <c r="Q5" s="9" t="inlineStr">
        <is>
          <t>Redesign certifications; transfer-triggered review (POAM-004)</t>
        </is>
      </c>
      <c r="R5" s="8" t="inlineStr">
        <is>
          <t>Alicia Moreno (CISO)</t>
        </is>
      </c>
      <c r="S5" s="10" t="n">
        <v>46326</v>
      </c>
      <c r="T5" s="8" t="n">
        <v>2</v>
      </c>
      <c r="U5" s="8" t="n">
        <v>3</v>
      </c>
      <c r="V5" s="8">
        <f>T5*U5</f>
        <v/>
      </c>
      <c r="W5" s="8">
        <f>IF(V5="","",IF(V5&gt;=20,"Critical",IF(V5&gt;=10,"High",IF(V5&gt;=5,"Moderate","Low"))))</f>
        <v/>
      </c>
      <c r="X5" s="8" t="inlineStr">
        <is>
          <t>Treatment in progress</t>
        </is>
      </c>
      <c r="Y5" s="8" t="inlineStr">
        <is>
          <t>AC-6(7); AC-2; PS-5</t>
        </is>
      </c>
      <c r="Z5" s="8" t="inlineStr">
        <is>
          <t>FIND-004; FIND-006</t>
        </is>
      </c>
      <c r="AA5" s="8" t="inlineStr">
        <is>
          <t>POAM-004</t>
        </is>
      </c>
      <c r="AB5" s="10" t="n">
        <v>46283</v>
      </c>
      <c r="AC5" s="9" t="inlineStr">
        <is>
          <t>L4: fast growth, transfers, and contractors make creep near-certain without review. I3: creep usually adds read access; worst credible case is fewer than 500 records.</t>
        </is>
      </c>
      <c r="AD5" s="9" t="inlineStr">
        <is>
          <t>L4: the review operated but was ineffective (100% approval, key systems excluded), so no credit. I3.</t>
        </is>
      </c>
      <c r="AE5" s="9" t="inlineStr">
        <is>
          <t>L2: full-scope campaigns with usage data and flagged items needing rationale. I3.</t>
        </is>
      </c>
    </row>
    <row r="6">
      <c r="A6" s="8" t="inlineStr">
        <is>
          <t>RISK-005</t>
        </is>
      </c>
      <c r="B6" s="9" t="inlineStr">
        <is>
          <t>Inability to detect or investigate PHI access</t>
        </is>
      </c>
      <c r="C6" s="9" t="inlineStr">
        <is>
          <t>Misuse goes unnoticed, or a breach found months later cannot be scoped, forcing presumptive notification of large patient populations.</t>
        </is>
      </c>
      <c r="D6" s="9" t="inlineStr">
        <is>
          <t>Audit logs (CloudTrail, application PHI-access audit, SIEM)</t>
        </is>
      </c>
      <c r="E6" s="9" t="inlineStr">
        <is>
          <t>Undetected insider or attacker activity; late-discovered breach</t>
        </is>
      </c>
      <c r="F6" s="9" t="inlineStr">
        <is>
          <t>90–180-day retention; inconsistent privileged-activity review</t>
        </is>
      </c>
      <c r="G6" s="9" t="inlineStr">
        <is>
          <t>Comprehensive event logging (AU-2); immutable log archive (AU-9); MDR alerting (SI-4)</t>
        </is>
      </c>
      <c r="H6" s="8" t="n">
        <v>3</v>
      </c>
      <c r="I6" s="8" t="n">
        <v>4</v>
      </c>
      <c r="J6" s="8">
        <f>H6*I6</f>
        <v/>
      </c>
      <c r="K6" s="8">
        <f>IF(J6="","",IF(J6&gt;=20,"Critical",IF(J6&gt;=10,"High",IF(J6&gt;=5,"Moderate","Low"))))</f>
        <v/>
      </c>
      <c r="L6" s="8" t="n">
        <v>3</v>
      </c>
      <c r="M6" s="8" t="n">
        <v>4</v>
      </c>
      <c r="N6" s="8">
        <f>L6*M6</f>
        <v/>
      </c>
      <c r="O6" s="8">
        <f>IF(N6="","",IF(N6&gt;=20,"Critical",IF(N6&gt;=10,"High",IF(N6&gt;=5,"Moderate","Low"))))</f>
        <v/>
      </c>
      <c r="P6" s="8" t="inlineStr">
        <is>
          <t>Mitigate</t>
        </is>
      </c>
      <c r="Q6" s="9" t="inlineStr">
        <is>
          <t>Extend retention (POAM-008, done); backup reviewer and escalation (POAM-009)</t>
        </is>
      </c>
      <c r="R6" s="8" t="inlineStr">
        <is>
          <t>Alicia Moreno (CISO)</t>
        </is>
      </c>
      <c r="S6" s="10" t="n">
        <v>46326</v>
      </c>
      <c r="T6" s="8" t="n">
        <v>2</v>
      </c>
      <c r="U6" s="8" t="n">
        <v>3</v>
      </c>
      <c r="V6" s="8">
        <f>T6*U6</f>
        <v/>
      </c>
      <c r="W6" s="8">
        <f>IF(V6="","",IF(V6&gt;=20,"Critical",IF(V6&gt;=10,"High",IF(V6&gt;=5,"Moderate","Low"))))</f>
        <v/>
      </c>
      <c r="X6" s="8" t="inlineStr">
        <is>
          <t>Treatment in progress</t>
        </is>
      </c>
      <c r="Y6" s="8" t="inlineStr">
        <is>
          <t>AU-6; AU-11; AU-2; AU-9</t>
        </is>
      </c>
      <c r="Z6" s="8" t="inlineStr">
        <is>
          <t>FIND-008; FIND-009</t>
        </is>
      </c>
      <c r="AA6" s="8" t="inlineStr">
        <is>
          <t>POAM-008; POAM-009</t>
        </is>
      </c>
      <c r="AB6" s="10" t="n">
        <v>46283</v>
      </c>
      <c r="AC6" s="9" t="inlineStr">
        <is>
          <t>L3: breaches are often discovered after 90+ days. I4: inability to scope means broad notification plus contract breach.</t>
        </is>
      </c>
      <c r="AD6" s="9" t="inlineStr">
        <is>
          <t>L3: logging is strong, but retention is short and 35% of weekly reviews were missed or incomplete. I4.</t>
        </is>
      </c>
      <c r="AE6" s="9" t="inlineStr">
        <is>
          <t>L2: 400-day retention plus a backup reviewer. I3: records now exist to scope and limit notification.</t>
        </is>
      </c>
    </row>
    <row r="7">
      <c r="A7" s="8" t="inlineStr">
        <is>
          <t>RISK-006</t>
        </is>
      </c>
      <c r="B7" s="9" t="inlineStr">
        <is>
          <t>Exploitation of unremediated vulnerabilities</t>
        </is>
      </c>
      <c r="C7" s="9" t="inlineStr">
        <is>
          <t>An attacker exploits a known, unpatched flaw in a production service or host to gain a foothold.</t>
        </is>
      </c>
      <c r="D7" s="9" t="inlineStr">
        <is>
          <t>Internet-facing services and container workloads</t>
        </is>
      </c>
      <c r="E7" s="9" t="inlineStr">
        <is>
          <t>Opportunistic exploitation of known CVEs; ransomware affiliates</t>
        </is>
      </c>
      <c r="F7" s="9" t="inlineStr">
        <is>
          <t>23% SLA misses; end-of-life runtimes; exception process unused</t>
        </is>
      </c>
      <c r="G7" s="9" t="inlineStr">
        <is>
          <t>WAF; weekly authenticated scanning; container image scanning; EDR; MDR</t>
        </is>
      </c>
      <c r="H7" s="8" t="n">
        <v>4</v>
      </c>
      <c r="I7" s="8" t="n">
        <v>5</v>
      </c>
      <c r="J7" s="8">
        <f>H7*I7</f>
        <v/>
      </c>
      <c r="K7" s="8">
        <f>IF(J7="","",IF(J7&gt;=20,"Critical",IF(J7&gt;=10,"High",IF(J7&gt;=5,"Moderate","Low"))))</f>
        <v/>
      </c>
      <c r="L7" s="8" t="n">
        <v>3</v>
      </c>
      <c r="M7" s="8" t="n">
        <v>4</v>
      </c>
      <c r="N7" s="8">
        <f>L7*M7</f>
        <v/>
      </c>
      <c r="O7" s="8">
        <f>IF(N7="","",IF(N7&gt;=20,"Critical",IF(N7&gt;=10,"High",IF(N7&gt;=5,"Moderate","Low"))))</f>
        <v/>
      </c>
      <c r="P7" s="8" t="inlineStr">
        <is>
          <t>Mitigate</t>
        </is>
      </c>
      <c r="Q7" s="9" t="inlineStr">
        <is>
          <t>Upgrade EOL runtimes; exception process; SLA reporting; tag enforcement (POAM-010)</t>
        </is>
      </c>
      <c r="R7" s="8" t="inlineStr">
        <is>
          <t>Grace Lindqvist (VP Engineering)</t>
        </is>
      </c>
      <c r="S7" s="10" t="n">
        <v>46331</v>
      </c>
      <c r="T7" s="8" t="n">
        <v>2</v>
      </c>
      <c r="U7" s="8" t="n">
        <v>4</v>
      </c>
      <c r="V7" s="8">
        <f>T7*U7</f>
        <v/>
      </c>
      <c r="W7" s="8">
        <f>IF(V7="","",IF(V7&gt;=20,"Critical",IF(V7&gt;=10,"High",IF(V7&gt;=5,"Moderate","Low"))))</f>
        <v/>
      </c>
      <c r="X7" s="8" t="inlineStr">
        <is>
          <t>Treatment in progress</t>
        </is>
      </c>
      <c r="Y7" s="8" t="inlineStr">
        <is>
          <t>RA-5; SI-2; CM-8</t>
        </is>
      </c>
      <c r="Z7" s="8" t="inlineStr">
        <is>
          <t>FIND-010</t>
        </is>
      </c>
      <c r="AA7" s="8" t="inlineStr">
        <is>
          <t>POAM-010</t>
        </is>
      </c>
      <c r="AB7" s="10" t="n">
        <v>46283</v>
      </c>
      <c r="AC7" s="9" t="inlineStr">
        <is>
          <t>L4: exploitation of known vulnerabilities is a top initial-access vector. I5: PHI platform compromise.</t>
        </is>
      </c>
      <c r="AD7" s="9" t="inlineStr">
        <is>
          <t>L3: scanning, WAF, and EDR are effective layers, but 6 items are open past SLA. I4: segmentation (private subnets) limits the blast radius from most workloads.</t>
        </is>
      </c>
      <c r="AE7" s="9" t="inlineStr">
        <is>
          <t>L2: SLA adherence with governed exceptions. I4: same architecture.</t>
        </is>
      </c>
    </row>
    <row r="8">
      <c r="A8" s="8" t="inlineStr">
        <is>
          <t>RISK-007</t>
        </is>
      </c>
      <c r="B8" s="9" t="inlineStr">
        <is>
          <t>Compromise of unsupported legacy components in the PHI path</t>
        </is>
      </c>
      <c r="C8" s="9" t="inlineStr">
        <is>
          <t>An attacker exploits an unpatchable flaw on the legacy SFTP host, which holds the nightly full-PHI extract, and pivots or exfiltrates.</t>
        </is>
      </c>
      <c r="D8" s="9" t="inlineStr">
        <is>
          <t>wf-sftp-01 (Windows 2012 R2), legacy-reports (PostgreSQL 11), notify-worker (Node 16)</t>
        </is>
      </c>
      <c r="E8" s="9" t="inlineStr">
        <is>
          <t>Exploitation of unpatchable flaws; ransomware</t>
        </is>
      </c>
      <c r="F8" s="9" t="inlineStr">
        <is>
          <t>No vendor patches; host previously exposed via internet-facing RDP</t>
        </is>
      </c>
      <c r="G8" s="9" t="inlineStr">
        <is>
          <t>EDR; SFTP source allowlist; weekly scanning; SSM-only admin (after FIND-012 fix)</t>
        </is>
      </c>
      <c r="H8" s="8" t="n">
        <v>4</v>
      </c>
      <c r="I8" s="8" t="n">
        <v>4</v>
      </c>
      <c r="J8" s="8">
        <f>H8*I8</f>
        <v/>
      </c>
      <c r="K8" s="8">
        <f>IF(J8="","",IF(J8&gt;=20,"Critical",IF(J8&gt;=10,"High",IF(J8&gt;=5,"Moderate","Low"))))</f>
        <v/>
      </c>
      <c r="L8" s="8" t="n">
        <v>3</v>
      </c>
      <c r="M8" s="8" t="n">
        <v>4</v>
      </c>
      <c r="N8" s="8">
        <f>L8*M8</f>
        <v/>
      </c>
      <c r="O8" s="8">
        <f>IF(N8="","",IF(N8&gt;=20,"Critical",IF(N8&gt;=10,"High",IF(N8&gt;=5,"Moderate","Low"))))</f>
        <v/>
      </c>
      <c r="P8" s="8" t="inlineStr">
        <is>
          <t>Avoid</t>
        </is>
      </c>
      <c r="Q8" s="9" t="inlineStr">
        <is>
          <t>Decommission wf-sftp-01 and legacy-reports; upgrade notify-worker (POAM-011)</t>
        </is>
      </c>
      <c r="R8" s="8" t="inlineStr">
        <is>
          <t>Samir Haddad (CTO)</t>
        </is>
      </c>
      <c r="S8" s="10" t="n">
        <v>46371</v>
      </c>
      <c r="T8" s="8" t="n">
        <v>1</v>
      </c>
      <c r="U8" s="8" t="n">
        <v>4</v>
      </c>
      <c r="V8" s="8">
        <f>T8*U8</f>
        <v/>
      </c>
      <c r="W8" s="8">
        <f>IF(V8="","",IF(V8&gt;=20,"Critical",IF(V8&gt;=10,"High",IF(V8&gt;=5,"Moderate","Low"))))</f>
        <v/>
      </c>
      <c r="X8" s="8" t="inlineStr">
        <is>
          <t>Treatment in progress (delayed)</t>
        </is>
      </c>
      <c r="Y8" s="8" t="inlineStr">
        <is>
          <t>SA-22; SC-7; CM-6; SI-2</t>
        </is>
      </c>
      <c r="Z8" s="8" t="inlineStr">
        <is>
          <t>FIND-011; FIND-012</t>
        </is>
      </c>
      <c r="AA8" s="8" t="inlineStr">
        <is>
          <t>POAM-011; POAM-012</t>
        </is>
      </c>
      <c r="AB8" s="10" t="n">
        <v>46283</v>
      </c>
      <c r="AC8" s="9" t="inlineStr">
        <is>
          <t>L4: unsupported, internet-reachable Windows host. I4: a full-PHI extract sits there transiently (worst credible case is one night's file, bounded).</t>
        </is>
      </c>
      <c r="AD8" s="9" t="inlineStr">
        <is>
          <t>L3: RDP closed, allowlist and EDR in place, but no patches. I4.</t>
        </is>
      </c>
      <c r="AE8" s="9" t="inlineStr">
        <is>
          <t>L1: components decommissioned (Avoid). I4 kept, because the managed-transfer replacement still moves the same data.</t>
        </is>
      </c>
    </row>
    <row r="9">
      <c r="A9" s="8" t="inlineStr">
        <is>
          <t>RISK-008</t>
        </is>
      </c>
      <c r="B9" s="9" t="inlineStr">
        <is>
          <t>Failed or slow recovery from ransomware or data corruption</t>
        </is>
      </c>
      <c r="C9" s="9" t="inlineStr">
        <is>
          <t>A destructive event forces recovery, and recovery takes longer than RTO or loses data because the process was never exercised.</t>
        </is>
      </c>
      <c r="D9" s="9" t="inlineStr">
        <is>
          <t>wcp-core-db and WCP services</t>
        </is>
      </c>
      <c r="E9" s="9" t="inlineStr">
        <is>
          <t>Ransomware; destructive insider; data corruption</t>
        </is>
      </c>
      <c r="F9" s="9" t="inlineStr">
        <is>
          <t>Restore never tested (at fieldwork); contingency plan untested</t>
        </is>
      </c>
      <c r="G9" s="9" t="inlineStr">
        <is>
          <t>PITR (35 days); cross-region, cross-account backups with Vault Lock; BC/DR plan</t>
        </is>
      </c>
      <c r="H9" s="8" t="n">
        <v>3</v>
      </c>
      <c r="I9" s="8" t="n">
        <v>5</v>
      </c>
      <c r="J9" s="8">
        <f>H9*I9</f>
        <v/>
      </c>
      <c r="K9" s="8">
        <f>IF(J9="","",IF(J9&gt;=20,"Critical",IF(J9&gt;=10,"High",IF(J9&gt;=5,"Moderate","Low"))))</f>
        <v/>
      </c>
      <c r="L9" s="8" t="n">
        <v>2</v>
      </c>
      <c r="M9" s="8" t="n">
        <v>5</v>
      </c>
      <c r="N9" s="8">
        <f>L9*M9</f>
        <v/>
      </c>
      <c r="O9" s="8">
        <f>IF(N9="","",IF(N9&gt;=20,"Critical",IF(N9&gt;=10,"High",IF(N9&gt;=5,"Moderate","Low"))))</f>
        <v/>
      </c>
      <c r="P9" s="8" t="inlineStr">
        <is>
          <t>Mitigate</t>
        </is>
      </c>
      <c r="Q9" s="9" t="inlineStr">
        <is>
          <t>Semi-annual restore tests (POAM-013, done); CP exercise (POAM-014)</t>
        </is>
      </c>
      <c r="R9" s="8" t="inlineStr">
        <is>
          <t>Samir Haddad (CTO)</t>
        </is>
      </c>
      <c r="S9" s="10" t="n">
        <v>46341</v>
      </c>
      <c r="T9" s="8" t="n">
        <v>2</v>
      </c>
      <c r="U9" s="8" t="n">
        <v>4</v>
      </c>
      <c r="V9" s="8">
        <f>T9*U9</f>
        <v/>
      </c>
      <c r="W9" s="8">
        <f>IF(V9="","",IF(V9&gt;=20,"Critical",IF(V9&gt;=10,"High",IF(V9&gt;=5,"Moderate","Low"))))</f>
        <v/>
      </c>
      <c r="X9" s="8" t="inlineStr">
        <is>
          <t>Treatment in progress</t>
        </is>
      </c>
      <c r="Y9" s="8" t="inlineStr">
        <is>
          <t>CP-2; CP-4; CP-9; CP-9(1)</t>
        </is>
      </c>
      <c r="Z9" s="8" t="inlineStr">
        <is>
          <t>FIND-013; FIND-014</t>
        </is>
      </c>
      <c r="AA9" s="8" t="inlineStr">
        <is>
          <t>POAM-013; POAM-014</t>
        </is>
      </c>
      <c r="AB9" s="10" t="n">
        <v>46283</v>
      </c>
      <c r="AC9" s="9" t="inlineStr">
        <is>
          <t>L3: healthcare ransomware frequency. I5: outage over 24h for clinical workflows.</t>
        </is>
      </c>
      <c r="AD9" s="9" t="inlineStr">
        <is>
          <t>L2: strong, immutable backups reduce the chance of an unrecoverable event. I5: recovery time was unproven.</t>
        </is>
      </c>
      <c r="AE9" s="9" t="inlineStr">
        <is>
          <t>L2. I4: restore proven at 3h41m (within the 4h RTO); a full contingency exercise is pending (POAM-014).</t>
        </is>
      </c>
    </row>
    <row r="10">
      <c r="A10" s="8" t="inlineStr">
        <is>
          <t>RISK-009</t>
        </is>
      </c>
      <c r="B10" s="9" t="inlineStr">
        <is>
          <t>Delayed or ineffective response to a major incident</t>
        </is>
      </c>
      <c r="C10" s="9" t="inlineStr">
        <is>
          <t>During a major incident, unclear roles or notification steps delay containment or cause a missed contractual or regulatory notification deadline.</t>
        </is>
      </c>
      <c r="D10" s="9" t="inlineStr">
        <is>
          <t>Incident response capability and notification obligations</t>
        </is>
      </c>
      <c r="E10" s="9" t="inlineStr">
        <is>
          <t>Major incident (ransomware, large PHI breach) stressing untested processes</t>
        </is>
      </c>
      <c r="F10" s="9" t="inlineStr">
        <is>
          <t>No IR exercise in 21 months; SHCA 24h path never rehearsed</t>
        </is>
      </c>
      <c r="G10" s="9" t="inlineStr">
        <is>
          <t>IRP-005 (current); 24x7 MDR; incidents in H1 handled well (IR-4 satisfied)</t>
        </is>
      </c>
      <c r="H10" s="8" t="n">
        <v>3</v>
      </c>
      <c r="I10" s="8" t="n">
        <v>4</v>
      </c>
      <c r="J10" s="8">
        <f>H10*I10</f>
        <v/>
      </c>
      <c r="K10" s="8">
        <f>IF(J10="","",IF(J10&gt;=20,"Critical",IF(J10&gt;=10,"High",IF(J10&gt;=5,"Moderate","Low"))))</f>
        <v/>
      </c>
      <c r="L10" s="8" t="n">
        <v>3</v>
      </c>
      <c r="M10" s="8" t="n">
        <v>4</v>
      </c>
      <c r="N10" s="8">
        <f>L10*M10</f>
        <v/>
      </c>
      <c r="O10" s="8">
        <f>IF(N10="","",IF(N10&gt;=20,"Critical",IF(N10&gt;=10,"High",IF(N10&gt;=5,"Moderate","Low"))))</f>
        <v/>
      </c>
      <c r="P10" s="8" t="inlineStr">
        <is>
          <t>Mitigate</t>
        </is>
      </c>
      <c r="Q10" s="9" t="inlineStr">
        <is>
          <t>Ransomware tabletop and plan update (POAM-014)</t>
        </is>
      </c>
      <c r="R10" s="8" t="inlineStr">
        <is>
          <t>Alicia Moreno (CISO)</t>
        </is>
      </c>
      <c r="S10" s="10" t="n">
        <v>46341</v>
      </c>
      <c r="T10" s="8" t="n">
        <v>2</v>
      </c>
      <c r="U10" s="8" t="n">
        <v>3</v>
      </c>
      <c r="V10" s="8">
        <f>T10*U10</f>
        <v/>
      </c>
      <c r="W10" s="8">
        <f>IF(V10="","",IF(V10&gt;=20,"Critical",IF(V10&gt;=10,"High",IF(V10&gt;=5,"Moderate","Low"))))</f>
        <v/>
      </c>
      <c r="X10" s="8" t="inlineStr">
        <is>
          <t>Treatment in progress</t>
        </is>
      </c>
      <c r="Y10" s="8" t="inlineStr">
        <is>
          <t>IR-3; IR-4; IR-6; IR-8</t>
        </is>
      </c>
      <c r="Z10" s="8" t="inlineStr">
        <is>
          <t>FIND-014</t>
        </is>
      </c>
      <c r="AA10" s="8" t="inlineStr">
        <is>
          <t>POAM-014</t>
        </is>
      </c>
      <c r="AB10" s="10" t="n">
        <v>46283</v>
      </c>
      <c r="AC10" s="9" t="inlineStr">
        <is>
          <t>L3: at least one significant incident per year is plausible. I4: missed notification means a contract breach and regulatory scrutiny.</t>
        </is>
      </c>
      <c r="AD10" s="9" t="inlineStr">
        <is>
          <t>L3: good day-to-day handling, but major-incident paths are untested. I4.</t>
        </is>
      </c>
      <c r="AE10" s="9" t="inlineStr">
        <is>
          <t>L2: rehearsed plan with the SHCA step. I3: faster, coordinated response limits impact.</t>
        </is>
      </c>
    </row>
    <row r="11">
      <c r="A11" s="8" t="inlineStr">
        <is>
          <t>RISK-010</t>
        </is>
      </c>
      <c r="B11" s="9" t="inlineStr">
        <is>
          <t>PHI exposure through the analytics vendor (Quarrystone)</t>
        </is>
      </c>
      <c r="C11" s="9" t="inlineStr">
        <is>
          <t>A breach at Quarrystone or its offshore subcontractor exposes Wrenfield PHI, and notice arrives too late for Wrenfield to meet 24h or 5-day obligations.</t>
        </is>
      </c>
      <c r="D11" s="9" t="inlineStr">
        <is>
          <t>Nightly full-PHI extract (about 410k patients) processed by Quarrystone and its subcontractors</t>
        </is>
      </c>
      <c r="E11" s="9" t="inlineStr">
        <is>
          <t>Vendor or subcontractor breach; unauthorized offshore access; delayed breach notice</t>
        </is>
      </c>
      <c r="F11" s="9" t="inlineStr">
        <is>
          <t>Offshore subcontractor access; 30-day notice term; excess data fields; stale pentest</t>
        </is>
      </c>
      <c r="G11" s="9" t="inlineStr">
        <is>
          <t>BAA; SOC 2 Type II (unqualified); encryption in transit and at rest; interim suspension of offshore access (2026-07-24)</t>
        </is>
      </c>
      <c r="H11" s="8" t="n">
        <v>4</v>
      </c>
      <c r="I11" s="8" t="n">
        <v>5</v>
      </c>
      <c r="J11" s="8">
        <f>H11*I11</f>
        <v/>
      </c>
      <c r="K11" s="8">
        <f>IF(J11="","",IF(J11&gt;=20,"Critical",IF(J11&gt;=10,"High",IF(J11&gt;=5,"Moderate","Low"))))</f>
        <v/>
      </c>
      <c r="L11" s="8" t="n">
        <v>3</v>
      </c>
      <c r="M11" s="8" t="n">
        <v>5</v>
      </c>
      <c r="N11" s="8">
        <f>L11*M11</f>
        <v/>
      </c>
      <c r="O11" s="8">
        <f>IF(N11="","",IF(N11&gt;=20,"Critical",IF(N11&gt;=10,"High",IF(N11&gt;=5,"Moderate","Low"))))</f>
        <v/>
      </c>
      <c r="P11" s="8" t="inlineStr">
        <is>
          <t>Mitigate</t>
        </is>
      </c>
      <c r="Q11" s="9" t="inlineStr">
        <is>
          <t>Contract amendment; data minimization; pentest and retest; monitoring plan (POAM-016). Transfer (partial) through cyber insurance and vendor indemnity.</t>
        </is>
      </c>
      <c r="R11" s="8" t="inlineStr">
        <is>
          <t>Dr. Miriam Castell (VP Clinical Analytics)</t>
        </is>
      </c>
      <c r="S11" s="10" t="n">
        <v>46331</v>
      </c>
      <c r="T11" s="8" t="n">
        <v>2</v>
      </c>
      <c r="U11" s="8" t="n">
        <v>4</v>
      </c>
      <c r="V11" s="8">
        <f>T11*U11</f>
        <v/>
      </c>
      <c r="W11" s="8">
        <f>IF(V11="","",IF(V11&gt;=20,"Critical",IF(V11&gt;=10,"High",IF(V11&gt;=5,"Moderate","Low"))))</f>
        <v/>
      </c>
      <c r="X11" s="8" t="inlineStr">
        <is>
          <t>Treatment in progress</t>
        </is>
      </c>
      <c r="Y11" s="8" t="inlineStr">
        <is>
          <t>SA-9; SR-6; CA-3</t>
        </is>
      </c>
      <c r="Z11" s="8" t="inlineStr">
        <is>
          <t>FIND-016; FIND-015</t>
        </is>
      </c>
      <c r="AA11" s="8" t="inlineStr">
        <is>
          <t>POAM-016; POAM-015</t>
        </is>
      </c>
      <c r="AB11" s="10" t="n">
        <v>46283</v>
      </c>
      <c r="AC11" s="9" t="inlineStr">
        <is>
          <t>L4: third-party breaches are frequent in healthcare, and an undisclosed offshore party was present. I5: &gt;50k records plus SHCA contract loss.</t>
        </is>
      </c>
      <c r="AD11" s="9" t="inlineStr">
        <is>
          <t>L3: vendor controls are generally mature (SOC 2, encryption) and offshore access is suspended, but the contract terms are unchanged. I5.</t>
        </is>
      </c>
      <c r="AE11" s="9" t="inlineStr">
        <is>
          <t>L2: contractual US-only with technical enforcement, 24h notice, and current pentest. I4: minimized extract (no contact details or free text) reduces the records and sensitivity exposed.</t>
        </is>
      </c>
    </row>
    <row r="12">
      <c r="A12" s="8" t="inlineStr">
        <is>
          <t>RISK-011</t>
        </is>
      </c>
      <c r="B12" s="9" t="inlineStr">
        <is>
          <t>Software or vendor supply-chain compromise</t>
        </is>
      </c>
      <c r="C12" s="9" t="inlineStr">
        <is>
          <t>A compromised dependency or vendor integration introduces malicious code or access into WCP.</t>
        </is>
      </c>
      <c r="D12" s="9" t="inlineStr">
        <is>
          <t>CI/CD pipeline, open-source dependencies, vendor integrations</t>
        </is>
      </c>
      <c r="E12" s="9" t="inlineStr">
        <is>
          <t>Malicious dependency or compromised vendor update or integration</t>
        </is>
      </c>
      <c r="F12" s="9" t="inlineStr">
        <is>
          <t>No C-SCRM plan; no fourth-party inventory; 5 vendors overdue for review</t>
        </is>
      </c>
      <c r="G12" s="9" t="inlineStr">
        <is>
          <t>Dependency scanning; branch protection and required review; OIDC deploy (no static keys); pinned base images</t>
        </is>
      </c>
      <c r="H12" s="8" t="n">
        <v>3</v>
      </c>
      <c r="I12" s="8" t="n">
        <v>5</v>
      </c>
      <c r="J12" s="8">
        <f>H12*I12</f>
        <v/>
      </c>
      <c r="K12" s="8">
        <f>IF(J12="","",IF(J12&gt;=20,"Critical",IF(J12&gt;=10,"High",IF(J12&gt;=5,"Moderate","Low"))))</f>
        <v/>
      </c>
      <c r="L12" s="8" t="n">
        <v>3</v>
      </c>
      <c r="M12" s="8" t="n">
        <v>4</v>
      </c>
      <c r="N12" s="8">
        <f>L12*M12</f>
        <v/>
      </c>
      <c r="O12" s="8">
        <f>IF(N12="","",IF(N12&gt;=20,"Critical",IF(N12&gt;=10,"High",IF(N12&gt;=5,"Moderate","Low"))))</f>
        <v/>
      </c>
      <c r="P12" s="8" t="inlineStr">
        <is>
          <t>Mitigate</t>
        </is>
      </c>
      <c r="Q12" s="9" t="inlineStr">
        <is>
          <t>C-SCRM plan; clear the vendor backlog; fourth-party inventory (POAM-015)</t>
        </is>
      </c>
      <c r="R12" s="8" t="inlineStr">
        <is>
          <t>Beth Kowalski (Vendor Management Lead)</t>
        </is>
      </c>
      <c r="S12" s="10" t="n">
        <v>46421</v>
      </c>
      <c r="T12" s="8" t="n">
        <v>2</v>
      </c>
      <c r="U12" s="8" t="n">
        <v>4</v>
      </c>
      <c r="V12" s="8">
        <f>T12*U12</f>
        <v/>
      </c>
      <c r="W12" s="8">
        <f>IF(V12="","",IF(V12&gt;=20,"Critical",IF(V12&gt;=10,"High",IF(V12&gt;=5,"Moderate","Low"))))</f>
        <v/>
      </c>
      <c r="X12" s="8" t="inlineStr">
        <is>
          <t>Treatment in progress</t>
        </is>
      </c>
      <c r="Y12" s="8" t="inlineStr">
        <is>
          <t>SR-2; SR-6; SA-9</t>
        </is>
      </c>
      <c r="Z12" s="8" t="inlineStr">
        <is>
          <t>FIND-015</t>
        </is>
      </c>
      <c r="AA12" s="8" t="inlineStr">
        <is>
          <t>POAM-015</t>
        </is>
      </c>
      <c r="AB12" s="10" t="n">
        <v>46283</v>
      </c>
      <c r="AC12" s="9" t="inlineStr">
        <is>
          <t>L3: supply-chain attacks are increasing. I5: code execution in the PHI platform.</t>
        </is>
      </c>
      <c r="AD12" s="9" t="inlineStr">
        <is>
          <t>L3: good pipeline hygiene, but no program-level supply chain risk management. I4: OIDC and least-privilege deploy roles limit what a compromised pipeline can reach.</t>
        </is>
      </c>
      <c r="AE12" s="9" t="inlineStr">
        <is>
          <t>L2: C-SCRM plan, current vendor reviews, fourth-party visibility. I4.</t>
        </is>
      </c>
    </row>
    <row r="13">
      <c r="A13" s="8" t="inlineStr">
        <is>
          <t>RISK-012</t>
        </is>
      </c>
      <c r="B13" s="9" t="inlineStr">
        <is>
          <t>Cloud misconfiguration exposing PHI or admin services</t>
        </is>
      </c>
      <c r="C13" s="9" t="inlineStr">
        <is>
          <t>A manual misconfiguration (an open port, a public resource) exposes PHI or an admin interface to the internet.</t>
        </is>
      </c>
      <c r="D13" s="9" t="inlineStr">
        <is>
          <t>AWS wcp-prod network and storage configuration</t>
        </is>
      </c>
      <c r="E13" s="9" t="inlineStr">
        <is>
          <t>Opportunistic internet scanning; misconfiguration exploited by attackers</t>
        </is>
      </c>
      <c r="F13" s="9" t="inlineStr">
        <is>
          <t>Console changes bypass IaC; CSPM findings not routed to on-call</t>
        </is>
      </c>
      <c r="G13" s="9" t="inlineStr">
        <is>
          <t>Org-wide S3 Block Public Access (SCP); encryption by default; Security Hub CIS checks; IaC for most resources</t>
        </is>
      </c>
      <c r="H13" s="8" t="n">
        <v>4</v>
      </c>
      <c r="I13" s="8" t="n">
        <v>5</v>
      </c>
      <c r="J13" s="8">
        <f>H13*I13</f>
        <v/>
      </c>
      <c r="K13" s="8">
        <f>IF(J13="","",IF(J13&gt;=20,"Critical",IF(J13&gt;=10,"High",IF(J13&gt;=5,"Moderate","Low"))))</f>
        <v/>
      </c>
      <c r="L13" s="8" t="n">
        <v>2</v>
      </c>
      <c r="M13" s="8" t="n">
        <v>5</v>
      </c>
      <c r="N13" s="8">
        <f>L13*M13</f>
        <v/>
      </c>
      <c r="O13" s="8">
        <f>IF(N13="","",IF(N13&gt;=20,"Critical",IF(N13&gt;=10,"High",IF(N13&gt;=5,"Moderate","Low"))))</f>
        <v/>
      </c>
      <c r="P13" s="8" t="inlineStr">
        <is>
          <t>Mitigate</t>
        </is>
      </c>
      <c r="Q13" s="9" t="inlineStr">
        <is>
          <t>Route CSPM to on-call; admin-port guardrail; emergency change auto-revert (POAM-012, POAM-018)</t>
        </is>
      </c>
      <c r="R13" s="8" t="inlineStr">
        <is>
          <t>Tomasz Wierzbicki (Director, Platform Engineering)</t>
        </is>
      </c>
      <c r="S13" s="10" t="n">
        <v>46276</v>
      </c>
      <c r="T13" s="8" t="n">
        <v>2</v>
      </c>
      <c r="U13" s="8" t="n">
        <v>4</v>
      </c>
      <c r="V13" s="8">
        <f>T13*U13</f>
        <v/>
      </c>
      <c r="W13" s="8">
        <f>IF(V13="","",IF(V13&gt;=20,"Critical",IF(V13&gt;=10,"High",IF(V13&gt;=5,"Moderate","Low"))))</f>
        <v/>
      </c>
      <c r="X13" s="8" t="inlineStr">
        <is>
          <t>Treatment in progress</t>
        </is>
      </c>
      <c r="Y13" s="8" t="inlineStr">
        <is>
          <t>CM-2; CM-6; SC-7; SC-28</t>
        </is>
      </c>
      <c r="Z13" s="8" t="inlineStr">
        <is>
          <t>FIND-012</t>
        </is>
      </c>
      <c r="AA13" s="8" t="inlineStr">
        <is>
          <t>POAM-012</t>
        </is>
      </c>
      <c r="AB13" s="10" t="n">
        <v>46283</v>
      </c>
      <c r="AC13" s="9" t="inlineStr">
        <is>
          <t>L4: misconfiguration is a leading cloud breach cause. I5: public PHI exposure.</t>
        </is>
      </c>
      <c r="AD13" s="9" t="inlineStr">
        <is>
          <t>L2: strong preventive guardrails for data stores (block public access, encryption). The observed exposure was an admin port, not data. I5: remains the worst credible case.</t>
        </is>
      </c>
      <c r="AE13" s="9" t="inlineStr">
        <is>
          <t>L2: CSPM routed to on-call plus SCP guardrails on admin ports. I4: guardrails prevent the most severe (data-store) exposures.</t>
        </is>
      </c>
    </row>
    <row r="14">
      <c r="A14" s="8" t="inlineStr">
        <is>
          <t>RISK-013</t>
        </is>
      </c>
      <c r="B14" s="9" t="inlineStr">
        <is>
          <t>Fraudulent vendor payment through an SoD conflict</t>
        </is>
      </c>
      <c r="C14" s="9" t="inlineStr">
        <is>
          <t>A user alters vendor bank details and approves payments to an attacker-controlled account.</t>
        </is>
      </c>
      <c r="D14" s="9" t="inlineStr">
        <is>
          <t>Ledgerline vendor master and payments</t>
        </is>
      </c>
      <c r="E14" s="9" t="inlineStr">
        <is>
          <t>Insider fraud or coerced insider (business email compromise)</t>
        </is>
      </c>
      <c r="F14" s="9" t="inlineStr">
        <is>
          <t>One user holds vendor-master maintenance and payment approval (≤ $25k)</t>
        </is>
      </c>
      <c r="G14" s="9" t="inlineStr">
        <is>
          <t>Compensating: monthly vendor-master change report reviewed by the Controller; callback verification of bank-detail changes; payments over $25k need CFO approval</t>
        </is>
      </c>
      <c r="H14" s="8" t="n">
        <v>3</v>
      </c>
      <c r="I14" s="8" t="n">
        <v>3</v>
      </c>
      <c r="J14" s="8">
        <f>H14*I14</f>
        <v/>
      </c>
      <c r="K14" s="8">
        <f>IF(J14="","",IF(J14&gt;=20,"Critical",IF(J14&gt;=10,"High",IF(J14&gt;=5,"Moderate","Low"))))</f>
        <v/>
      </c>
      <c r="L14" s="8" t="n">
        <v>2</v>
      </c>
      <c r="M14" s="8" t="n">
        <v>3</v>
      </c>
      <c r="N14" s="8">
        <f>L14*M14</f>
        <v/>
      </c>
      <c r="O14" s="8">
        <f>IF(N14="","",IF(N14&gt;=20,"Critical",IF(N14&gt;=10,"High",IF(N14&gt;=5,"Moderate","Low"))))</f>
        <v/>
      </c>
      <c r="P14" s="8" t="inlineStr">
        <is>
          <t>Accept</t>
        </is>
      </c>
      <c r="Q14" s="9" t="inlineStr">
        <is>
          <t>RACC-001 risk acceptance with compensating control; split roles at AP backfill (POAM-007)</t>
        </is>
      </c>
      <c r="R14" s="8" t="inlineStr">
        <is>
          <t>Raymond Okafor (CFO)</t>
        </is>
      </c>
      <c r="S14" s="10" t="n">
        <v>46477</v>
      </c>
      <c r="T14" s="8" t="n">
        <v>2</v>
      </c>
      <c r="U14" s="8" t="n">
        <v>3</v>
      </c>
      <c r="V14" s="8">
        <f>T14*U14</f>
        <v/>
      </c>
      <c r="W14" s="8">
        <f>IF(V14="","",IF(V14&gt;=20,"Critical",IF(V14&gt;=10,"High",IF(V14&gt;=5,"Moderate","Low"))))</f>
        <v/>
      </c>
      <c r="X14" s="8" t="inlineStr">
        <is>
          <t>Accepted (RACC-001, expires 2027-03-31)</t>
        </is>
      </c>
      <c r="Y14" s="8" t="inlineStr">
        <is>
          <t>AC-5</t>
        </is>
      </c>
      <c r="Z14" s="8" t="inlineStr">
        <is>
          <t>FIND-007</t>
        </is>
      </c>
      <c r="AA14" s="8" t="inlineStr">
        <is>
          <t>POAM-007</t>
        </is>
      </c>
      <c r="AB14" s="10" t="n">
        <v>46283</v>
      </c>
      <c r="AC14" s="9" t="inlineStr">
        <is>
          <t>L3: BEC-driven bank-change fraud is common. I3: bounded by the $25k approval limit and monthly detection (worst credible case $100k–500k over a month).</t>
        </is>
      </c>
      <c r="AD14" s="9" t="inlineStr">
        <is>
          <t>L2: the compensating review operated 6 of 6 months, plus callbacks. I3.</t>
        </is>
      </c>
      <c r="AE14" s="9" t="inlineStr">
        <is>
          <t>L2. I3: accepted with the compensating control until the roles are split.</t>
        </is>
      </c>
    </row>
    <row r="15">
      <c r="A15" s="8" t="inlineStr">
        <is>
          <t>RISK-014</t>
        </is>
      </c>
      <c r="B15" s="9" t="inlineStr">
        <is>
          <t>Unauthorized or untested changes cause an outage or security regression</t>
        </is>
      </c>
      <c r="C15" s="9" t="inlineStr">
        <is>
          <t>An emergency or console change is made without review and introduces an outage or exposure (FIND-012 is a realized example).</t>
        </is>
      </c>
      <c r="D15" s="9" t="inlineStr">
        <is>
          <t>WCP production configuration</t>
        </is>
      </c>
      <c r="E15" s="9" t="inlineStr">
        <is>
          <t>Human error under time pressure; unreviewed emergency changes</t>
        </is>
      </c>
      <c r="F15" s="9" t="inlineStr">
        <is>
          <t>Emergency and console change paths lack enforced approval and revert</t>
        </is>
      </c>
      <c r="G15" s="9" t="inlineStr">
        <is>
          <t>PR review and CI for code and IaC; protected deploy environments</t>
        </is>
      </c>
      <c r="H15" s="8" t="n">
        <v>3</v>
      </c>
      <c r="I15" s="8" t="n">
        <v>4</v>
      </c>
      <c r="J15" s="8">
        <f>H15*I15</f>
        <v/>
      </c>
      <c r="K15" s="8">
        <f>IF(J15="","",IF(J15&gt;=20,"Critical",IF(J15&gt;=10,"High",IF(J15&gt;=5,"Moderate","Low"))))</f>
        <v/>
      </c>
      <c r="L15" s="8" t="n">
        <v>2</v>
      </c>
      <c r="M15" s="8" t="n">
        <v>4</v>
      </c>
      <c r="N15" s="8">
        <f>L15*M15</f>
        <v/>
      </c>
      <c r="O15" s="8">
        <f>IF(N15="","",IF(N15&gt;=20,"Critical",IF(N15&gt;=10,"High",IF(N15&gt;=5,"Moderate","Low"))))</f>
        <v/>
      </c>
      <c r="P15" s="8" t="inlineStr">
        <is>
          <t>Mitigate</t>
        </is>
      </c>
      <c r="Q15" s="9" t="inlineStr">
        <is>
          <t>Retro-approval automation; console-change alerts (POAM-018)</t>
        </is>
      </c>
      <c r="R15" s="8" t="inlineStr">
        <is>
          <t>Tomasz Wierzbicki (Director, Platform Engineering)</t>
        </is>
      </c>
      <c r="S15" s="10" t="n">
        <v>46276</v>
      </c>
      <c r="T15" s="8" t="n">
        <v>2</v>
      </c>
      <c r="U15" s="8" t="n">
        <v>3</v>
      </c>
      <c r="V15" s="8">
        <f>T15*U15</f>
        <v/>
      </c>
      <c r="W15" s="8">
        <f>IF(V15="","",IF(V15&gt;=20,"Critical",IF(V15&gt;=10,"High",IF(V15&gt;=5,"Moderate","Low"))))</f>
        <v/>
      </c>
      <c r="X15" s="8" t="inlineStr">
        <is>
          <t>Treatment in progress (overdue)</t>
        </is>
      </c>
      <c r="Y15" s="8" t="inlineStr">
        <is>
          <t>CM-3</t>
        </is>
      </c>
      <c r="Z15" s="8" t="inlineStr">
        <is>
          <t>FIND-018</t>
        </is>
      </c>
      <c r="AA15" s="8" t="inlineStr">
        <is>
          <t>POAM-018</t>
        </is>
      </c>
      <c r="AB15" s="10" t="n">
        <v>46283</v>
      </c>
      <c r="AC15" s="9" t="inlineStr">
        <is>
          <t>L3: frequent changes. I4: multi-hour outage or exposure.</t>
        </is>
      </c>
      <c r="AD15" s="9" t="inlineStr">
        <is>
          <t>L2: 22 of 25 sampled changes were compliant; the pipeline is strong. I4: realized once (FIND-012).</t>
        </is>
      </c>
      <c r="AE15" s="9" t="inlineStr">
        <is>
          <t>L2. I3: console-change alerting and auto-revert shorten the exposure window.</t>
        </is>
      </c>
    </row>
    <row r="16">
      <c r="A16" s="8" t="inlineStr">
        <is>
          <t>RISK-015</t>
        </is>
      </c>
      <c r="B16" s="9" t="inlineStr">
        <is>
          <t>Phishing and social engineering of the workforce</t>
        </is>
      </c>
      <c r="C16" s="9" t="inlineStr">
        <is>
          <t>A user is tricked into disclosing credentials, approving a push, or sending PHI or payments to an attacker.</t>
        </is>
      </c>
      <c r="D16" s="9" t="inlineStr">
        <is>
          <t>Workforce identities and endpoints</t>
        </is>
      </c>
      <c r="E16" s="9" t="inlineStr">
        <is>
          <t>Phishing, help-desk social engineering, BEC</t>
        </is>
      </c>
      <c r="F16" s="9" t="inlineStr">
        <is>
          <t>9% training non-completion (at fieldwork); human error</t>
        </is>
      </c>
      <c r="G16" s="9" t="inlineStr">
        <is>
          <t>MFA with number challenge; email security; phishing simulations (4.3% click rate); help-desk identity verification; EDR</t>
        </is>
      </c>
      <c r="H16" s="8" t="n">
        <v>5</v>
      </c>
      <c r="I16" s="8" t="n">
        <v>4</v>
      </c>
      <c r="J16" s="8">
        <f>H16*I16</f>
        <v/>
      </c>
      <c r="K16" s="8">
        <f>IF(J16="","",IF(J16&gt;=20,"Critical",IF(J16&gt;=10,"High",IF(J16&gt;=5,"Moderate","Low"))))</f>
        <v/>
      </c>
      <c r="L16" s="8" t="n">
        <v>3</v>
      </c>
      <c r="M16" s="8" t="n">
        <v>3</v>
      </c>
      <c r="N16" s="8">
        <f>L16*M16</f>
        <v/>
      </c>
      <c r="O16" s="8">
        <f>IF(N16="","",IF(N16&gt;=20,"Critical",IF(N16&gt;=10,"High",IF(N16&gt;=5,"Moderate","Low"))))</f>
        <v/>
      </c>
      <c r="P16" s="8" t="inlineStr">
        <is>
          <t>Accept</t>
        </is>
      </c>
      <c r="Q16" s="9" t="inlineStr">
        <is>
          <t>Training enforcement (POAM-019); continue simulations and phishing-resistant MFA rollout</t>
        </is>
      </c>
      <c r="R16" s="8" t="inlineStr">
        <is>
          <t>Denise Yamamoto (Director of People)</t>
        </is>
      </c>
      <c r="S16" s="10" t="n">
        <v>46295</v>
      </c>
      <c r="T16" s="8" t="n">
        <v>3</v>
      </c>
      <c r="U16" s="8" t="n">
        <v>3</v>
      </c>
      <c r="V16" s="8">
        <f>T16*U16</f>
        <v/>
      </c>
      <c r="W16" s="8">
        <f>IF(V16="","",IF(V16&gt;=20,"Critical",IF(V16&gt;=10,"High",IF(V16&gt;=5,"Moderate","Low"))))</f>
        <v/>
      </c>
      <c r="X16" s="8" t="inlineStr">
        <is>
          <t>Accepted within tolerance (monitor)</t>
        </is>
      </c>
      <c r="Y16" s="8" t="inlineStr">
        <is>
          <t>AT-2; AT-3; IA-2(8)</t>
        </is>
      </c>
      <c r="Z16" s="8" t="inlineStr">
        <is>
          <t>FIND-019</t>
        </is>
      </c>
      <c r="AA16" s="8" t="inlineStr">
        <is>
          <t>POAM-019</t>
        </is>
      </c>
      <c r="AB16" s="10" t="n">
        <v>46283</v>
      </c>
      <c r="AC16" s="9" t="inlineStr">
        <is>
          <t>L5: phishing attempts are constant. I4: credential compromise leading to PHI access.</t>
        </is>
      </c>
      <c r="AD16" s="9" t="inlineStr">
        <is>
          <t>L3: layered controls (MFA, filtering, EDR) catch most attempts (INC-2026-0012 shows MFA blocked a successful phish). I3: least privilege and monitoring limit impact.</t>
        </is>
      </c>
      <c r="AE16" s="9" t="inlineStr">
        <is>
          <t>L3 and I3 unchanged: training completion is a hygiene fix and does not move the risk. Accepted as within tolerance (Moderate) with an ongoing awareness program.</t>
        </is>
      </c>
    </row>
    <row r="17">
      <c r="A17" s="8" t="inlineStr">
        <is>
          <t>RISK-016</t>
        </is>
      </c>
      <c r="B17" s="9" t="inlineStr">
        <is>
          <t>Loss of SHCA contract or customer trust from unresolved compliance gaps</t>
        </is>
      </c>
      <c r="C17" s="9" t="inlineStr">
        <is>
          <t>SHCA or Lakemont judges Wrenfield's remediation insufficient, delaying go-live or leading to termination or non-renewal.</t>
        </is>
      </c>
      <c r="D17" s="9" t="inlineStr">
        <is>
          <t>SHCA C3P contract ($23.4M) and top customer relationships (Lakemont)</t>
        </is>
      </c>
      <c r="E17" s="9" t="inlineStr">
        <is>
          <t>Contract cure notice or termination; customer non-renewal after security review</t>
        </is>
      </c>
      <c r="F17" s="9" t="inlineStr">
        <is>
          <t>Outdated SSP; open High POA&amp;M items near go-live; vendor conditions unmet</t>
        </is>
      </c>
      <c r="G17" s="9" t="inlineStr">
        <is>
          <t>This assessment and the POA&amp;M; executive sponsorship; customer communication plan</t>
        </is>
      </c>
      <c r="H17" s="8" t="n">
        <v>3</v>
      </c>
      <c r="I17" s="8" t="n">
        <v>5</v>
      </c>
      <c r="J17" s="8">
        <f>H17*I17</f>
        <v/>
      </c>
      <c r="K17" s="8">
        <f>IF(J17="","",IF(J17&gt;=20,"Critical",IF(J17&gt;=10,"High",IF(J17&gt;=5,"Moderate","Low"))))</f>
        <v/>
      </c>
      <c r="L17" s="8" t="n">
        <v>3</v>
      </c>
      <c r="M17" s="8" t="n">
        <v>4</v>
      </c>
      <c r="N17" s="8">
        <f>L17*M17</f>
        <v/>
      </c>
      <c r="O17" s="8">
        <f>IF(N17="","",IF(N17&gt;=20,"Critical",IF(N17&gt;=10,"High",IF(N17&gt;=5,"Moderate","Low"))))</f>
        <v/>
      </c>
      <c r="P17" s="8" t="inlineStr">
        <is>
          <t>Mitigate</t>
        </is>
      </c>
      <c r="Q17" s="9" t="inlineStr">
        <is>
          <t>Close High POA&amp;M items before go-live; SSP rewrite (POAM-017); proactive customer update</t>
        </is>
      </c>
      <c r="R17" s="8" t="inlineStr">
        <is>
          <t>Elena Marsh (CEO)</t>
        </is>
      </c>
      <c r="S17" s="10" t="n">
        <v>46371</v>
      </c>
      <c r="T17" s="8" t="n">
        <v>2</v>
      </c>
      <c r="U17" s="8" t="n">
        <v>3</v>
      </c>
      <c r="V17" s="8">
        <f>T17*U17</f>
        <v/>
      </c>
      <c r="W17" s="8">
        <f>IF(V17="","",IF(V17&gt;=20,"Critical",IF(V17&gt;=10,"High",IF(V17&gt;=5,"Moderate","Low"))))</f>
        <v/>
      </c>
      <c r="X17" s="8" t="inlineStr">
        <is>
          <t>Treatment in progress</t>
        </is>
      </c>
      <c r="Y17" s="8" t="inlineStr">
        <is>
          <t>PL-2; CA-5; CA-7</t>
        </is>
      </c>
      <c r="Z17" s="8" t="inlineStr">
        <is>
          <t>FIND-017</t>
        </is>
      </c>
      <c r="AA17" s="8" t="inlineStr">
        <is>
          <t>POAM-017</t>
        </is>
      </c>
      <c r="AB17" s="10" t="n">
        <v>46283</v>
      </c>
      <c r="AC17" s="9" t="inlineStr">
        <is>
          <t>L3: 7 High findings against a 90-day rule. I5: loss of a $23.4M contract or a customer worth 21% of ARR.</t>
        </is>
      </c>
      <c r="AD17" s="9" t="inlineStr">
        <is>
          <t>L3: strong remediation momentum (7 of 19 closed in 6 weeks), but 3 High items are open with dependencies. I4: SHCA would more likely require a cure plan than terminate.</t>
        </is>
      </c>
      <c r="AE17" s="9" t="inlineStr">
        <is>
          <t>L2: High items closed before 2027-01-11, and the SSP is accurate. I3.</t>
        </is>
      </c>
    </row>
    <row r="18">
      <c r="A18" s="8" t="inlineStr">
        <is>
          <t>RISK-017</t>
        </is>
      </c>
      <c r="B18" s="9" t="inlineStr">
        <is>
          <t>Service-account credential theft</t>
        </is>
      </c>
      <c r="C18" s="9" t="inlineStr">
        <is>
          <t>A stolen long-lived service credential grants quiet, unmonitored access to PHI extracts.</t>
        </is>
      </c>
      <c r="D18" s="9" t="inlineStr">
        <is>
          <t>Non-human accounts with static credentials (SFTP push, reporting ETL, vendor logins)</t>
        </is>
      </c>
      <c r="E18" s="9" t="inlineStr">
        <is>
          <t>Credential theft from hosts or repositories; vendor-side compromise</t>
        </is>
      </c>
      <c r="F18" s="9" t="inlineStr">
        <is>
          <t>Keys 1.5–3 years old; no owners; a shared vendor login</t>
        </is>
      </c>
      <c r="G18" s="9" t="inlineStr">
        <is>
          <t>Secrets Manager rotation for DB credentials; OIDC for CI/CD</t>
        </is>
      </c>
      <c r="H18" s="8" t="n">
        <v>3</v>
      </c>
      <c r="I18" s="8" t="n">
        <v>4</v>
      </c>
      <c r="J18" s="8">
        <f>H18*I18</f>
        <v/>
      </c>
      <c r="K18" s="8">
        <f>IF(J18="","",IF(J18&gt;=20,"Critical",IF(J18&gt;=10,"High",IF(J18&gt;=5,"Moderate","Low"))))</f>
        <v/>
      </c>
      <c r="L18" s="8" t="n">
        <v>3</v>
      </c>
      <c r="M18" s="8" t="n">
        <v>4</v>
      </c>
      <c r="N18" s="8">
        <f>L18*M18</f>
        <v/>
      </c>
      <c r="O18" s="8">
        <f>IF(N18="","",IF(N18&gt;=20,"Critical",IF(N18&gt;=10,"High",IF(N18&gt;=5,"Moderate","Low"))))</f>
        <v/>
      </c>
      <c r="P18" s="8" t="inlineStr">
        <is>
          <t>Mitigate</t>
        </is>
      </c>
      <c r="Q18" s="9" t="inlineStr">
        <is>
          <t>Owners, rotation or federation, and named vendor accounts (POAM-005)</t>
        </is>
      </c>
      <c r="R18" s="8" t="inlineStr">
        <is>
          <t>Alicia Moreno (CISO)</t>
        </is>
      </c>
      <c r="S18" s="10" t="n">
        <v>46277</v>
      </c>
      <c r="T18" s="8" t="n">
        <v>1</v>
      </c>
      <c r="U18" s="8" t="n">
        <v>4</v>
      </c>
      <c r="V18" s="8">
        <f>T18*U18</f>
        <v/>
      </c>
      <c r="W18" s="8">
        <f>IF(V18="","",IF(V18&gt;=20,"Critical",IF(V18&gt;=10,"High",IF(V18&gt;=5,"Moderate","Low"))))</f>
        <v/>
      </c>
      <c r="X18" s="8" t="inlineStr">
        <is>
          <t>Treated (residual achieved; monitoring)</t>
        </is>
      </c>
      <c r="Y18" s="8" t="inlineStr">
        <is>
          <t>IA-5; AC-2</t>
        </is>
      </c>
      <c r="Z18" s="8" t="inlineStr">
        <is>
          <t>FIND-005</t>
        </is>
      </c>
      <c r="AA18" s="8" t="inlineStr">
        <is>
          <t>POAM-005</t>
        </is>
      </c>
      <c r="AB18" s="10" t="n">
        <v>46283</v>
      </c>
      <c r="AC18" s="9" t="inlineStr">
        <is>
          <t>L3: static keys leak through repositories, hosts, and backups. I4: PHI extract access.</t>
        </is>
      </c>
      <c r="AD18" s="9" t="inlineStr">
        <is>
          <t>L3: modern patterns exist, but the legacy exceptions carry the risk. I4.</t>
        </is>
      </c>
      <c r="AE18" s="9" t="inlineStr">
        <is>
          <t>L1: federation and rotation with owners and quarterly attestation. I4: a compromised service identity would still reach the same data.</t>
        </is>
      </c>
    </row>
    <row r="19">
      <c r="A19" s="8" t="inlineStr">
        <is>
          <t>RISK-018</t>
        </is>
      </c>
      <c r="B19" s="9" t="inlineStr">
        <is>
          <t>Loss or theft of an endpoint containing PHI</t>
        </is>
      </c>
      <c r="C19" s="9" t="inlineStr">
        <is>
          <t>A lost or stolen laptop exposes PHI stored locally.</t>
        </is>
      </c>
      <c r="D19" s="9" t="inlineStr">
        <is>
          <t>About 362 workforce laptops</t>
        </is>
      </c>
      <c r="E19" s="9" t="inlineStr">
        <is>
          <t>Theft, loss in transit</t>
        </is>
      </c>
      <c r="F19" s="9" t="inlineStr">
        <is>
          <t>Mobile workforce (60% remote)</t>
        </is>
      </c>
      <c r="G19" s="9" t="inlineStr">
        <is>
          <t>Full-disk encryption (100%); MDM remote wipe; policy against storing PHI locally, with DLP; EDR</t>
        </is>
      </c>
      <c r="H19" s="8" t="n">
        <v>4</v>
      </c>
      <c r="I19" s="8" t="n">
        <v>3</v>
      </c>
      <c r="J19" s="8">
        <f>H19*I19</f>
        <v/>
      </c>
      <c r="K19" s="8">
        <f>IF(J19="","",IF(J19&gt;=20,"Critical",IF(J19&gt;=10,"High",IF(J19&gt;=5,"Moderate","Low"))))</f>
        <v/>
      </c>
      <c r="L19" s="8" t="n">
        <v>2</v>
      </c>
      <c r="M19" s="8" t="n">
        <v>2</v>
      </c>
      <c r="N19" s="8">
        <f>L19*M19</f>
        <v/>
      </c>
      <c r="O19" s="8">
        <f>IF(N19="","",IF(N19&gt;=20,"Critical",IF(N19&gt;=10,"High",IF(N19&gt;=5,"Moderate","Low"))))</f>
        <v/>
      </c>
      <c r="P19" s="8" t="inlineStr">
        <is>
          <t>Accept</t>
        </is>
      </c>
      <c r="Q19" s="9" t="inlineStr">
        <is>
          <t>None beyond current controls; annual review</t>
        </is>
      </c>
      <c r="R19" s="8" t="inlineStr">
        <is>
          <t>Kevin Brandt (IT Manager)</t>
        </is>
      </c>
      <c r="S19" s="10" t="n">
        <v>46583</v>
      </c>
      <c r="T19" s="8" t="n">
        <v>2</v>
      </c>
      <c r="U19" s="8" t="n">
        <v>2</v>
      </c>
      <c r="V19" s="8">
        <f>T19*U19</f>
        <v/>
      </c>
      <c r="W19" s="8">
        <f>IF(V19="","",IF(V19&gt;=20,"Critical",IF(V19&gt;=10,"High",IF(V19&gt;=5,"Moderate","Low"))))</f>
        <v/>
      </c>
      <c r="X19" s="8" t="inlineStr">
        <is>
          <t>Accepted within appetite (Low)</t>
        </is>
      </c>
      <c r="Y19" s="8" t="inlineStr">
        <is>
          <t>SC-28; MP-6</t>
        </is>
      </c>
      <c r="Z19" s="8" t="inlineStr"/>
      <c r="AA19" s="8" t="inlineStr"/>
      <c r="AB19" s="10" t="n">
        <v>46283</v>
      </c>
      <c r="AC19" s="9" t="inlineStr">
        <is>
          <t>L4: several devices are lost each year. I3: a local PHI cache could hold under 500 records.</t>
        </is>
      </c>
      <c r="AD19" s="9" t="inlineStr">
        <is>
          <t>L2: devices are still lost (INC-2026-0063), but FDE means a lost encrypted device is not a breach of unsecured PHI. I2: exposure is internal-only and non-reportable when encryption is verified.</t>
        </is>
      </c>
      <c r="AE19" s="9" t="inlineStr">
        <is>
          <t>Unchanged; within appetite.</t>
        </is>
      </c>
    </row>
  </sheetData>
  <autoFilter ref="A1:AE19"/>
  <conditionalFormatting sqref="K2:K219">
    <cfRule type="expression" priority="1" dxfId="0">
      <formula>K2="Critical"</formula>
    </cfRule>
    <cfRule type="expression" priority="2" dxfId="1">
      <formula>K2="High"</formula>
    </cfRule>
    <cfRule type="expression" priority="3" dxfId="2">
      <formula>K2="Moderate"</formula>
    </cfRule>
    <cfRule type="expression" priority="4" dxfId="3">
      <formula>K2="Low"</formula>
    </cfRule>
  </conditionalFormatting>
  <conditionalFormatting sqref="O2:O219">
    <cfRule type="expression" priority="5" dxfId="0">
      <formula>O2="Critical"</formula>
    </cfRule>
    <cfRule type="expression" priority="6" dxfId="1">
      <formula>O2="High"</formula>
    </cfRule>
    <cfRule type="expression" priority="7" dxfId="2">
      <formula>O2="Moderate"</formula>
    </cfRule>
    <cfRule type="expression" priority="8" dxfId="3">
      <formula>O2="Low"</formula>
    </cfRule>
  </conditionalFormatting>
  <conditionalFormatting sqref="W2:W219">
    <cfRule type="expression" priority="9" dxfId="0">
      <formula>W2="Critical"</formula>
    </cfRule>
    <cfRule type="expression" priority="10" dxfId="1">
      <formula>W2="High"</formula>
    </cfRule>
    <cfRule type="expression" priority="11" dxfId="2">
      <formula>W2="Moderate"</formula>
    </cfRule>
    <cfRule type="expression" priority="12" dxfId="3">
      <formula>W2="Low"</formula>
    </cfRule>
  </conditionalFormatting>
  <dataValidations count="7">
    <dataValidation sqref="H2:H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I2:I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L2:L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M2:M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T2:T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U2:U219" showDropDown="0" showInputMessage="0" showErrorMessage="1" allowBlank="0" error="Likelihood and impact use the 1-5 scale in risk/risk-methodology.md" type="whole" operator="between">
      <formula1>1</formula1>
      <formula2>5</formula2>
    </dataValidation>
    <dataValidation sqref="P2:P219" showDropDown="0" showInputMessage="0" showErrorMessage="1" allowBlank="1" errorTitle="Controlled value" error="Choose a value from the list (controlled vocabulary)." type="list">
      <formula1>"Mitigate,Accept,Transfer,Avoid"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2026-09-23T05:43:39Z</dcterms:created>
  <dcterms:modified xsi:type="dcterms:W3CDTF">2026-09-23T05:43:39Z</dcterms:modified>
</cp:coreProperties>
</file>