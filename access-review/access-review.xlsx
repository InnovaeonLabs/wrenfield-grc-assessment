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essReview" sheetId="2" state="visible" r:id="rId2"/>
    <sheet name="Flag Legend" sheetId="3" state="visible" r:id="rId3"/>
    <sheet name="Exceptions" sheetId="4" state="visible" r:id="rId4"/>
  </sheets>
  <definedNames>
    <definedName name="_xlnm._FilterDatabase" localSheetId="1" hidden="1">'AccessReview'!$A$1:$AC$107</definedName>
    <definedName name="_xlnm._FilterDatabase" localSheetId="2" hidden="1">'Flag Legend'!$A$1:$C$13</definedName>
    <definedName name="_xlnm._FilterDatabase" localSheetId="3" hidden="1">'Exceptions'!$A$1:$F$21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6" fillId="3" borderId="0" pivotButton="0" quotePrefix="0" xfId="0"/>
    <xf numFmtId="0" fontId="7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FD8"/>
        </patternFill>
      </fill>
    </dxf>
    <dxf>
      <fill>
        <patternFill patternType="solid">
          <fgColor rgb="00F9D6CF"/>
        </patternFill>
      </fill>
    </dxf>
    <dxf>
      <fill>
        <patternFill patternType="solid">
          <fgColor rgb="00E6E0F3"/>
        </patternFill>
      </fill>
    </dxf>
    <dxf>
      <fill>
        <patternFill patternType="solid">
          <fgColor rgb="00FBE3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Access-Control Review (Privileged and PHI Access Certification)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Snapshot</t>
        </is>
      </c>
      <c r="B6" s="6" t="inlineStr">
        <is>
          <t>2026-06-30; certification performed 2026-07-06 to 2026-07-17</t>
        </is>
      </c>
    </row>
    <row r="7">
      <c r="A7" s="3" t="inlineStr">
        <is>
          <t>Population</t>
        </is>
      </c>
      <c r="B7" s="6" t="inlineStr">
        <is>
          <t>106 entitlements, 53 accounts, 10 system labels; 37 privileged, 31 PHI-bearing</t>
        </is>
      </c>
    </row>
    <row r="8">
      <c r="A8" s="3" t="inlineStr">
        <is>
          <t>Method</t>
        </is>
      </c>
      <c r="B8" s="6" t="inlineStr">
        <is>
          <t>tools/review_engine.py reconciles HR, Okta, entitlement exports, service register, role baseline, SoD rules and raises flags; reviewers disposition every flag</t>
        </is>
      </c>
    </row>
    <row r="9">
      <c r="A9" s="3" t="inlineStr">
        <is>
          <t>Result</t>
        </is>
      </c>
      <c r="B9" s="6" t="inlineStr">
        <is>
          <t>29 flagged rows -&gt; 20 exceptions (28 rows) + 1 false positive dispositioned; 18 closed, 1 risk-accepted, 1 open</t>
        </is>
      </c>
    </row>
    <row r="10">
      <c r="A10" s="3" t="inlineStr">
        <is>
          <t>Rule</t>
        </is>
      </c>
      <c r="B10" s="6" t="inlineStr">
        <is>
          <t>No self-review: reviewers never certify their own access (e.g., CTO reviews the Director of Platform Engineering's admin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28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44" customWidth="1" min="20" max="20"/>
    <col width="40" customWidth="1" min="21" max="21"/>
    <col width="16" customWidth="1" min="22" max="22"/>
    <col width="16" customWidth="1" min="23" max="23"/>
    <col width="19" customWidth="1" min="24" max="24"/>
    <col width="16" customWidth="1" min="25" max="25"/>
    <col width="18" customWidth="1" min="26" max="26"/>
    <col width="16" customWidth="1" min="27" max="27"/>
    <col width="18" customWidth="1" min="28" max="28"/>
    <col width="40" customWidth="1" min="29" max="29"/>
  </cols>
  <sheetData>
    <row r="1" ht="32" customHeight="1">
      <c r="A1" s="7" t="inlineStr">
        <is>
          <t>Row ID</t>
        </is>
      </c>
      <c r="B1" s="7" t="inlineStr">
        <is>
          <t>User / Account</t>
        </is>
      </c>
      <c r="C1" s="7" t="inlineStr">
        <is>
          <t>Account Type</t>
        </is>
      </c>
      <c r="D1" s="7" t="inlineStr">
        <is>
          <t>Department</t>
        </is>
      </c>
      <c r="E1" s="7" t="inlineStr">
        <is>
          <t>Role</t>
        </is>
      </c>
      <c r="F1" s="7" t="inlineStr">
        <is>
          <t>Manager</t>
        </is>
      </c>
      <c r="G1" s="7" t="inlineStr">
        <is>
          <t>HR Status</t>
        </is>
      </c>
      <c r="H1" s="7" t="inlineStr">
        <is>
          <t>System</t>
        </is>
      </c>
      <c r="I1" s="7" t="inlineStr">
        <is>
          <t>Access Level</t>
        </is>
      </c>
      <c r="J1" s="7" t="inlineStr">
        <is>
          <t>Privileged?</t>
        </is>
      </c>
      <c r="K1" s="7" t="inlineStr">
        <is>
          <t>PHI Access?</t>
        </is>
      </c>
      <c r="L1" s="7" t="inlineStr">
        <is>
          <t>Date Granted</t>
        </is>
      </c>
      <c r="M1" s="7" t="inlineStr">
        <is>
          <t>Last Login</t>
        </is>
      </c>
      <c r="N1" s="7" t="inlineStr">
        <is>
          <t>Business Justification</t>
        </is>
      </c>
      <c r="O1" s="7" t="inlineStr">
        <is>
          <t>Reviewer</t>
        </is>
      </c>
      <c r="P1" s="7" t="inlineStr">
        <is>
          <t>Review Date</t>
        </is>
      </c>
      <c r="Q1" s="7" t="inlineStr">
        <is>
          <t>Engine Flags</t>
        </is>
      </c>
      <c r="R1" s="7" t="inlineStr">
        <is>
          <t>Review Decision</t>
        </is>
      </c>
      <c r="S1" s="7" t="inlineStr">
        <is>
          <t>Exception ID</t>
        </is>
      </c>
      <c r="T1" s="7" t="inlineStr">
        <is>
          <t>Issue Identified</t>
        </is>
      </c>
      <c r="U1" s="7" t="inlineStr">
        <is>
          <t>Required Action</t>
        </is>
      </c>
      <c r="V1" s="7" t="inlineStr">
        <is>
          <t>Action Owner</t>
        </is>
      </c>
      <c r="W1" s="7" t="inlineStr">
        <is>
          <t>Due Date</t>
        </is>
      </c>
      <c r="X1" s="7" t="inlineStr">
        <is>
          <t>Completion Status</t>
        </is>
      </c>
      <c r="Y1" s="7" t="inlineStr">
        <is>
          <t>Completion Date</t>
        </is>
      </c>
      <c r="Z1" s="7" t="inlineStr">
        <is>
          <t>Closure Evidence</t>
        </is>
      </c>
      <c r="AA1" s="7" t="inlineStr">
        <is>
          <t>Related Finding</t>
        </is>
      </c>
      <c r="AB1" s="7" t="inlineStr">
        <is>
          <t>Affected Control</t>
        </is>
      </c>
      <c r="AC1" s="7" t="inlineStr">
        <is>
          <t>Reviewer Comment</t>
        </is>
      </c>
      <c r="AD1" s="8" t="inlineStr">
        <is>
          <t>First Row of Exception?</t>
        </is>
      </c>
    </row>
    <row r="2">
      <c r="A2" s="9" t="inlineStr">
        <is>
          <t>ENT-001</t>
        </is>
      </c>
      <c r="B2" s="9" t="inlineStr">
        <is>
          <t>amoreno</t>
        </is>
      </c>
      <c r="C2" s="9" t="inlineStr">
        <is>
          <t>Employee</t>
        </is>
      </c>
      <c r="D2" s="9" t="inlineStr">
        <is>
          <t>Security</t>
        </is>
      </c>
      <c r="E2" s="9" t="inlineStr">
        <is>
          <t>Chief Information Security Officer</t>
        </is>
      </c>
      <c r="F2" s="9" t="inlineStr">
        <is>
          <t>Samir Haddad</t>
        </is>
      </c>
      <c r="G2" s="9" t="inlineStr">
        <is>
          <t>Active</t>
        </is>
      </c>
      <c r="H2" s="9" t="inlineStr">
        <is>
          <t>Okta</t>
        </is>
      </c>
      <c r="I2" s="9" t="inlineStr">
        <is>
          <t>SSO account (standard user)</t>
        </is>
      </c>
      <c r="J2" s="9" t="inlineStr">
        <is>
          <t>N</t>
        </is>
      </c>
      <c r="K2" s="9" t="inlineStr">
        <is>
          <t>N</t>
        </is>
      </c>
      <c r="L2" s="10" t="n">
        <v>44256</v>
      </c>
      <c r="M2" s="10" t="n">
        <v>46203</v>
      </c>
      <c r="N2" s="11" t="inlineStr">
        <is>
          <t>Workforce SSO</t>
        </is>
      </c>
      <c r="O2" s="9" t="inlineStr">
        <is>
          <t>Samir Haddad</t>
        </is>
      </c>
      <c r="P2" s="10" t="n">
        <v>46213</v>
      </c>
      <c r="Q2" s="9" t="inlineStr"/>
      <c r="R2" s="9" t="inlineStr">
        <is>
          <t>Retain</t>
        </is>
      </c>
      <c r="S2" s="9" t="inlineStr"/>
      <c r="T2" s="11" t="inlineStr">
        <is>
          <t>None</t>
        </is>
      </c>
      <c r="U2" s="11" t="inlineStr"/>
      <c r="V2" s="9" t="inlineStr"/>
      <c r="W2" s="10" t="n"/>
      <c r="X2" s="9" t="inlineStr">
        <is>
          <t>Completed</t>
        </is>
      </c>
      <c r="Y2" s="10" t="n">
        <v>46213</v>
      </c>
      <c r="Z2" s="9" t="inlineStr"/>
      <c r="AA2" s="9" t="inlineStr"/>
      <c r="AB2" s="9" t="inlineStr"/>
      <c r="AC2" s="11" t="inlineStr"/>
      <c r="AD2">
        <f>IF(S2="",0,IF(COUNTIF(S$2:S2,S2&amp;"")=1,1,0))</f>
        <v/>
      </c>
    </row>
    <row r="3">
      <c r="A3" s="9" t="inlineStr">
        <is>
          <t>ENT-002</t>
        </is>
      </c>
      <c r="B3" s="9" t="inlineStr">
        <is>
          <t>nrahman</t>
        </is>
      </c>
      <c r="C3" s="9" t="inlineStr">
        <is>
          <t>Employee</t>
        </is>
      </c>
      <c r="D3" s="9" t="inlineStr">
        <is>
          <t>Security</t>
        </is>
      </c>
      <c r="E3" s="9" t="inlineStr">
        <is>
          <t>IAM Engineer</t>
        </is>
      </c>
      <c r="F3" s="9" t="inlineStr">
        <is>
          <t>Alicia Moreno</t>
        </is>
      </c>
      <c r="G3" s="9" t="inlineStr">
        <is>
          <t>Active</t>
        </is>
      </c>
      <c r="H3" s="9" t="inlineStr">
        <is>
          <t>Okta</t>
        </is>
      </c>
      <c r="I3" s="9" t="inlineStr">
        <is>
          <t>SSO account (standard user)</t>
        </is>
      </c>
      <c r="J3" s="9" t="inlineStr">
        <is>
          <t>N</t>
        </is>
      </c>
      <c r="K3" s="9" t="inlineStr">
        <is>
          <t>N</t>
        </is>
      </c>
      <c r="L3" s="10" t="n">
        <v>44697</v>
      </c>
      <c r="M3" s="10" t="n">
        <v>46203</v>
      </c>
      <c r="N3" s="11" t="inlineStr">
        <is>
          <t>Workforce SSO</t>
        </is>
      </c>
      <c r="O3" s="9" t="inlineStr">
        <is>
          <t>Alicia Moreno</t>
        </is>
      </c>
      <c r="P3" s="10" t="n">
        <v>46213</v>
      </c>
      <c r="Q3" s="9" t="inlineStr"/>
      <c r="R3" s="9" t="inlineStr">
        <is>
          <t>Retain</t>
        </is>
      </c>
      <c r="S3" s="9" t="inlineStr"/>
      <c r="T3" s="11" t="inlineStr">
        <is>
          <t>None</t>
        </is>
      </c>
      <c r="U3" s="11" t="inlineStr"/>
      <c r="V3" s="9" t="inlineStr"/>
      <c r="W3" s="10" t="n"/>
      <c r="X3" s="9" t="inlineStr">
        <is>
          <t>Completed</t>
        </is>
      </c>
      <c r="Y3" s="10" t="n">
        <v>46213</v>
      </c>
      <c r="Z3" s="9" t="inlineStr"/>
      <c r="AA3" s="9" t="inlineStr"/>
      <c r="AB3" s="9" t="inlineStr"/>
      <c r="AC3" s="11" t="inlineStr"/>
      <c r="AD3">
        <f>IF(S3="",0,IF(COUNTIF(S$2:S3,S3&amp;"")=1,1,0))</f>
        <v/>
      </c>
    </row>
    <row r="4">
      <c r="A4" s="9" t="inlineStr">
        <is>
          <t>ENT-003</t>
        </is>
      </c>
      <c r="B4" s="9" t="inlineStr">
        <is>
          <t>ocastillo</t>
        </is>
      </c>
      <c r="C4" s="9" t="inlineStr">
        <is>
          <t>Employee</t>
        </is>
      </c>
      <c r="D4" s="9" t="inlineStr">
        <is>
          <t>Security</t>
        </is>
      </c>
      <c r="E4" s="9" t="inlineStr">
        <is>
          <t>Security Engineer</t>
        </is>
      </c>
      <c r="F4" s="9" t="inlineStr">
        <is>
          <t>Alicia Moreno</t>
        </is>
      </c>
      <c r="G4" s="9" t="inlineStr">
        <is>
          <t>Active</t>
        </is>
      </c>
      <c r="H4" s="9" t="inlineStr">
        <is>
          <t>Okta</t>
        </is>
      </c>
      <c r="I4" s="9" t="inlineStr">
        <is>
          <t>SSO account (standard user)</t>
        </is>
      </c>
      <c r="J4" s="9" t="inlineStr">
        <is>
          <t>N</t>
        </is>
      </c>
      <c r="K4" s="9" t="inlineStr">
        <is>
          <t>N</t>
        </is>
      </c>
      <c r="L4" s="10" t="n">
        <v>44810</v>
      </c>
      <c r="M4" s="10" t="n">
        <v>46203</v>
      </c>
      <c r="N4" s="11" t="inlineStr">
        <is>
          <t>Workforce SSO</t>
        </is>
      </c>
      <c r="O4" s="9" t="inlineStr">
        <is>
          <t>Alicia Moreno</t>
        </is>
      </c>
      <c r="P4" s="10" t="n">
        <v>46213</v>
      </c>
      <c r="Q4" s="9" t="inlineStr"/>
      <c r="R4" s="9" t="inlineStr">
        <is>
          <t>Retain</t>
        </is>
      </c>
      <c r="S4" s="9" t="inlineStr"/>
      <c r="T4" s="11" t="inlineStr">
        <is>
          <t>None</t>
        </is>
      </c>
      <c r="U4" s="11" t="inlineStr"/>
      <c r="V4" s="9" t="inlineStr"/>
      <c r="W4" s="10" t="n"/>
      <c r="X4" s="9" t="inlineStr">
        <is>
          <t>Completed</t>
        </is>
      </c>
      <c r="Y4" s="10" t="n">
        <v>46213</v>
      </c>
      <c r="Z4" s="9" t="inlineStr"/>
      <c r="AA4" s="9" t="inlineStr"/>
      <c r="AB4" s="9" t="inlineStr"/>
      <c r="AC4" s="11" t="inlineStr"/>
      <c r="AD4">
        <f>IF(S4="",0,IF(COUNTIF(S$2:S4,S4&amp;"")=1,1,0))</f>
        <v/>
      </c>
    </row>
    <row r="5">
      <c r="A5" s="9" t="inlineStr">
        <is>
          <t>ENT-004</t>
        </is>
      </c>
      <c r="B5" s="9" t="inlineStr">
        <is>
          <t>praman</t>
        </is>
      </c>
      <c r="C5" s="9" t="inlineStr">
        <is>
          <t>Employee</t>
        </is>
      </c>
      <c r="D5" s="9" t="inlineStr">
        <is>
          <t>Security</t>
        </is>
      </c>
      <c r="E5" s="9" t="inlineStr">
        <is>
          <t>Security Compliance Manager</t>
        </is>
      </c>
      <c r="F5" s="9" t="inlineStr">
        <is>
          <t>Alicia Moreno</t>
        </is>
      </c>
      <c r="G5" s="9" t="inlineStr">
        <is>
          <t>Active</t>
        </is>
      </c>
      <c r="H5" s="9" t="inlineStr">
        <is>
          <t>Okta</t>
        </is>
      </c>
      <c r="I5" s="9" t="inlineStr">
        <is>
          <t>SSO account (standard user)</t>
        </is>
      </c>
      <c r="J5" s="9" t="inlineStr">
        <is>
          <t>N</t>
        </is>
      </c>
      <c r="K5" s="9" t="inlineStr">
        <is>
          <t>N</t>
        </is>
      </c>
      <c r="L5" s="10" t="n">
        <v>44935</v>
      </c>
      <c r="M5" s="10" t="n">
        <v>46202</v>
      </c>
      <c r="N5" s="11" t="inlineStr">
        <is>
          <t>Workforce SSO</t>
        </is>
      </c>
      <c r="O5" s="9" t="inlineStr">
        <is>
          <t>Alicia Moreno</t>
        </is>
      </c>
      <c r="P5" s="10" t="n">
        <v>46213</v>
      </c>
      <c r="Q5" s="9" t="inlineStr"/>
      <c r="R5" s="9" t="inlineStr">
        <is>
          <t>Retain</t>
        </is>
      </c>
      <c r="S5" s="9" t="inlineStr"/>
      <c r="T5" s="11" t="inlineStr">
        <is>
          <t>None</t>
        </is>
      </c>
      <c r="U5" s="11" t="inlineStr"/>
      <c r="V5" s="9" t="inlineStr"/>
      <c r="W5" s="10" t="n"/>
      <c r="X5" s="9" t="inlineStr">
        <is>
          <t>Completed</t>
        </is>
      </c>
      <c r="Y5" s="10" t="n">
        <v>46213</v>
      </c>
      <c r="Z5" s="9" t="inlineStr"/>
      <c r="AA5" s="9" t="inlineStr"/>
      <c r="AB5" s="9" t="inlineStr"/>
      <c r="AC5" s="11" t="inlineStr"/>
      <c r="AD5">
        <f>IF(S5="",0,IF(COUNTIF(S$2:S5,S5&amp;"")=1,1,0))</f>
        <v/>
      </c>
    </row>
    <row r="6">
      <c r="A6" s="9" t="inlineStr">
        <is>
          <t>ENT-005</t>
        </is>
      </c>
      <c r="B6" s="9" t="inlineStr">
        <is>
          <t>shaddad</t>
        </is>
      </c>
      <c r="C6" s="9" t="inlineStr">
        <is>
          <t>Employee</t>
        </is>
      </c>
      <c r="D6" s="9" t="inlineStr">
        <is>
          <t>Executive</t>
        </is>
      </c>
      <c r="E6" s="9" t="inlineStr">
        <is>
          <t>Chief Technology Officer</t>
        </is>
      </c>
      <c r="F6" s="9" t="inlineStr">
        <is>
          <t>Elena Marsh</t>
        </is>
      </c>
      <c r="G6" s="9" t="inlineStr">
        <is>
          <t>Active</t>
        </is>
      </c>
      <c r="H6" s="9" t="inlineStr">
        <is>
          <t>Okta</t>
        </is>
      </c>
      <c r="I6" s="9" t="inlineStr">
        <is>
          <t>SSO account (standard user)</t>
        </is>
      </c>
      <c r="J6" s="9" t="inlineStr">
        <is>
          <t>N</t>
        </is>
      </c>
      <c r="K6" s="9" t="inlineStr">
        <is>
          <t>N</t>
        </is>
      </c>
      <c r="L6" s="10" t="n">
        <v>42767</v>
      </c>
      <c r="M6" s="10" t="n">
        <v>46202</v>
      </c>
      <c r="N6" s="11" t="inlineStr">
        <is>
          <t>Workforce SSO</t>
        </is>
      </c>
      <c r="O6" s="9" t="inlineStr">
        <is>
          <t>Elena Marsh</t>
        </is>
      </c>
      <c r="P6" s="10" t="n">
        <v>46213</v>
      </c>
      <c r="Q6" s="9" t="inlineStr"/>
      <c r="R6" s="9" t="inlineStr">
        <is>
          <t>Retain</t>
        </is>
      </c>
      <c r="S6" s="9" t="inlineStr"/>
      <c r="T6" s="11" t="inlineStr">
        <is>
          <t>None</t>
        </is>
      </c>
      <c r="U6" s="11" t="inlineStr"/>
      <c r="V6" s="9" t="inlineStr"/>
      <c r="W6" s="10" t="n"/>
      <c r="X6" s="9" t="inlineStr">
        <is>
          <t>Completed</t>
        </is>
      </c>
      <c r="Y6" s="10" t="n">
        <v>46213</v>
      </c>
      <c r="Z6" s="9" t="inlineStr"/>
      <c r="AA6" s="9" t="inlineStr"/>
      <c r="AB6" s="9" t="inlineStr"/>
      <c r="AC6" s="11" t="inlineStr"/>
      <c r="AD6">
        <f>IF(S6="",0,IF(COUNTIF(S$2:S6,S6&amp;"")=1,1,0))</f>
        <v/>
      </c>
    </row>
    <row r="7">
      <c r="A7" s="9" t="inlineStr">
        <is>
          <t>ENT-006</t>
        </is>
      </c>
      <c r="B7" s="9" t="inlineStr">
        <is>
          <t>glindqvist</t>
        </is>
      </c>
      <c r="C7" s="9" t="inlineStr">
        <is>
          <t>Employee</t>
        </is>
      </c>
      <c r="D7" s="9" t="inlineStr">
        <is>
          <t>Engineering</t>
        </is>
      </c>
      <c r="E7" s="9" t="inlineStr">
        <is>
          <t>VP Engineering</t>
        </is>
      </c>
      <c r="F7" s="9" t="inlineStr">
        <is>
          <t>Samir Haddad</t>
        </is>
      </c>
      <c r="G7" s="9" t="inlineStr">
        <is>
          <t>Active</t>
        </is>
      </c>
      <c r="H7" s="9" t="inlineStr">
        <is>
          <t>Okta</t>
        </is>
      </c>
      <c r="I7" s="9" t="inlineStr">
        <is>
          <t>SSO account (standard user)</t>
        </is>
      </c>
      <c r="J7" s="9" t="inlineStr">
        <is>
          <t>N</t>
        </is>
      </c>
      <c r="K7" s="9" t="inlineStr">
        <is>
          <t>N</t>
        </is>
      </c>
      <c r="L7" s="10" t="n">
        <v>43997</v>
      </c>
      <c r="M7" s="10" t="n">
        <v>46203</v>
      </c>
      <c r="N7" s="11" t="inlineStr">
        <is>
          <t>Workforce SSO</t>
        </is>
      </c>
      <c r="O7" s="9" t="inlineStr">
        <is>
          <t>Samir Haddad</t>
        </is>
      </c>
      <c r="P7" s="10" t="n">
        <v>46213</v>
      </c>
      <c r="Q7" s="9" t="inlineStr"/>
      <c r="R7" s="9" t="inlineStr">
        <is>
          <t>Retain</t>
        </is>
      </c>
      <c r="S7" s="9" t="inlineStr"/>
      <c r="T7" s="11" t="inlineStr">
        <is>
          <t>None</t>
        </is>
      </c>
      <c r="U7" s="11" t="inlineStr"/>
      <c r="V7" s="9" t="inlineStr"/>
      <c r="W7" s="10" t="n"/>
      <c r="X7" s="9" t="inlineStr">
        <is>
          <t>Completed</t>
        </is>
      </c>
      <c r="Y7" s="10" t="n">
        <v>46213</v>
      </c>
      <c r="Z7" s="9" t="inlineStr"/>
      <c r="AA7" s="9" t="inlineStr"/>
      <c r="AB7" s="9" t="inlineStr"/>
      <c r="AC7" s="11" t="inlineStr"/>
      <c r="AD7">
        <f>IF(S7="",0,IF(COUNTIF(S$2:S7,S7&amp;"")=1,1,0))</f>
        <v/>
      </c>
    </row>
    <row r="8">
      <c r="A8" s="9" t="inlineStr">
        <is>
          <t>ENT-007</t>
        </is>
      </c>
      <c r="B8" s="9" t="inlineStr">
        <is>
          <t>twierzbicki</t>
        </is>
      </c>
      <c r="C8" s="9" t="inlineStr">
        <is>
          <t>Employee</t>
        </is>
      </c>
      <c r="D8" s="9" t="inlineStr">
        <is>
          <t>Platform Engineering</t>
        </is>
      </c>
      <c r="E8" s="9" t="inlineStr">
        <is>
          <t>Director Platform Engineering</t>
        </is>
      </c>
      <c r="F8" s="9" t="inlineStr">
        <is>
          <t>Samir Haddad</t>
        </is>
      </c>
      <c r="G8" s="9" t="inlineStr">
        <is>
          <t>Active</t>
        </is>
      </c>
      <c r="H8" s="9" t="inlineStr">
        <is>
          <t>Okta</t>
        </is>
      </c>
      <c r="I8" s="9" t="inlineStr">
        <is>
          <t>SSO account (standard user)</t>
        </is>
      </c>
      <c r="J8" s="9" t="inlineStr">
        <is>
          <t>N</t>
        </is>
      </c>
      <c r="K8" s="9" t="inlineStr">
        <is>
          <t>N</t>
        </is>
      </c>
      <c r="L8" s="10" t="n">
        <v>43556</v>
      </c>
      <c r="M8" s="10" t="n">
        <v>46203</v>
      </c>
      <c r="N8" s="11" t="inlineStr">
        <is>
          <t>Workforce SSO</t>
        </is>
      </c>
      <c r="O8" s="9" t="inlineStr">
        <is>
          <t>Samir Haddad</t>
        </is>
      </c>
      <c r="P8" s="10" t="n">
        <v>46213</v>
      </c>
      <c r="Q8" s="9" t="inlineStr"/>
      <c r="R8" s="9" t="inlineStr">
        <is>
          <t>Retain</t>
        </is>
      </c>
      <c r="S8" s="9" t="inlineStr"/>
      <c r="T8" s="11" t="inlineStr">
        <is>
          <t>None</t>
        </is>
      </c>
      <c r="U8" s="11" t="inlineStr"/>
      <c r="V8" s="9" t="inlineStr"/>
      <c r="W8" s="10" t="n"/>
      <c r="X8" s="9" t="inlineStr">
        <is>
          <t>Completed</t>
        </is>
      </c>
      <c r="Y8" s="10" t="n">
        <v>46213</v>
      </c>
      <c r="Z8" s="9" t="inlineStr"/>
      <c r="AA8" s="9" t="inlineStr"/>
      <c r="AB8" s="9" t="inlineStr"/>
      <c r="AC8" s="11" t="inlineStr"/>
      <c r="AD8">
        <f>IF(S8="",0,IF(COUNTIF(S$2:S8,S8&amp;"")=1,1,0))</f>
        <v/>
      </c>
    </row>
    <row r="9">
      <c r="A9" s="9" t="inlineStr">
        <is>
          <t>ENT-008</t>
        </is>
      </c>
      <c r="B9" s="9" t="inlineStr">
        <is>
          <t>jkim</t>
        </is>
      </c>
      <c r="C9" s="9" t="inlineStr">
        <is>
          <t>Employee</t>
        </is>
      </c>
      <c r="D9" s="9" t="inlineStr">
        <is>
          <t>Platform Engineering</t>
        </is>
      </c>
      <c r="E9" s="9" t="inlineStr">
        <is>
          <t>Senior SRE</t>
        </is>
      </c>
      <c r="F9" s="9" t="inlineStr">
        <is>
          <t>Tomasz Wierzbicki</t>
        </is>
      </c>
      <c r="G9" s="9" t="inlineStr">
        <is>
          <t>Active</t>
        </is>
      </c>
      <c r="H9" s="9" t="inlineStr">
        <is>
          <t>Okta</t>
        </is>
      </c>
      <c r="I9" s="9" t="inlineStr">
        <is>
          <t>SSO account (standard user)</t>
        </is>
      </c>
      <c r="J9" s="9" t="inlineStr">
        <is>
          <t>N</t>
        </is>
      </c>
      <c r="K9" s="9" t="inlineStr">
        <is>
          <t>N</t>
        </is>
      </c>
      <c r="L9" s="10" t="n">
        <v>44109</v>
      </c>
      <c r="M9" s="10" t="n">
        <v>46203</v>
      </c>
      <c r="N9" s="11" t="inlineStr">
        <is>
          <t>Workforce SSO</t>
        </is>
      </c>
      <c r="O9" s="9" t="inlineStr">
        <is>
          <t>Tomasz Wierzbicki</t>
        </is>
      </c>
      <c r="P9" s="10" t="n">
        <v>46213</v>
      </c>
      <c r="Q9" s="9" t="inlineStr"/>
      <c r="R9" s="9" t="inlineStr">
        <is>
          <t>Retain</t>
        </is>
      </c>
      <c r="S9" s="9" t="inlineStr"/>
      <c r="T9" s="11" t="inlineStr">
        <is>
          <t>None</t>
        </is>
      </c>
      <c r="U9" s="11" t="inlineStr"/>
      <c r="V9" s="9" t="inlineStr"/>
      <c r="W9" s="10" t="n"/>
      <c r="X9" s="9" t="inlineStr">
        <is>
          <t>Completed</t>
        </is>
      </c>
      <c r="Y9" s="10" t="n">
        <v>46213</v>
      </c>
      <c r="Z9" s="9" t="inlineStr"/>
      <c r="AA9" s="9" t="inlineStr"/>
      <c r="AB9" s="9" t="inlineStr"/>
      <c r="AC9" s="11" t="inlineStr"/>
      <c r="AD9">
        <f>IF(S9="",0,IF(COUNTIF(S$2:S9,S9&amp;"")=1,1,0))</f>
        <v/>
      </c>
    </row>
    <row r="10">
      <c r="A10" s="9" t="inlineStr">
        <is>
          <t>ENT-009</t>
        </is>
      </c>
      <c r="B10" s="9" t="inlineStr">
        <is>
          <t>lbaptiste</t>
        </is>
      </c>
      <c r="C10" s="9" t="inlineStr">
        <is>
          <t>Employee</t>
        </is>
      </c>
      <c r="D10" s="9" t="inlineStr">
        <is>
          <t>Platform Engineering</t>
        </is>
      </c>
      <c r="E10" s="9" t="inlineStr">
        <is>
          <t>SRE</t>
        </is>
      </c>
      <c r="F10" s="9" t="inlineStr">
        <is>
          <t>Tomasz Wierzbicki</t>
        </is>
      </c>
      <c r="G10" s="9" t="inlineStr">
        <is>
          <t>Active</t>
        </is>
      </c>
      <c r="H10" s="9" t="inlineStr">
        <is>
          <t>Okta</t>
        </is>
      </c>
      <c r="I10" s="9" t="inlineStr">
        <is>
          <t>SSO account (standard user)</t>
        </is>
      </c>
      <c r="J10" s="9" t="inlineStr">
        <is>
          <t>N</t>
        </is>
      </c>
      <c r="K10" s="9" t="inlineStr">
        <is>
          <t>N</t>
        </is>
      </c>
      <c r="L10" s="10" t="n">
        <v>44998</v>
      </c>
      <c r="M10" s="10" t="n">
        <v>46203</v>
      </c>
      <c r="N10" s="11" t="inlineStr">
        <is>
          <t>Workforce SSO</t>
        </is>
      </c>
      <c r="O10" s="9" t="inlineStr">
        <is>
          <t>Tomasz Wierzbicki</t>
        </is>
      </c>
      <c r="P10" s="10" t="n">
        <v>46213</v>
      </c>
      <c r="Q10" s="9" t="inlineStr"/>
      <c r="R10" s="9" t="inlineStr">
        <is>
          <t>Retain</t>
        </is>
      </c>
      <c r="S10" s="9" t="inlineStr"/>
      <c r="T10" s="11" t="inlineStr">
        <is>
          <t>None</t>
        </is>
      </c>
      <c r="U10" s="11" t="inlineStr"/>
      <c r="V10" s="9" t="inlineStr"/>
      <c r="W10" s="10" t="n"/>
      <c r="X10" s="9" t="inlineStr">
        <is>
          <t>Completed</t>
        </is>
      </c>
      <c r="Y10" s="10" t="n">
        <v>46213</v>
      </c>
      <c r="Z10" s="9" t="inlineStr"/>
      <c r="AA10" s="9" t="inlineStr"/>
      <c r="AB10" s="9" t="inlineStr"/>
      <c r="AC10" s="11" t="inlineStr"/>
      <c r="AD10">
        <f>IF(S10="",0,IF(COUNTIF(S$2:S10,S10&amp;"")=1,1,0))</f>
        <v/>
      </c>
    </row>
    <row r="11">
      <c r="A11" s="9" t="inlineStr">
        <is>
          <t>ENT-010</t>
        </is>
      </c>
      <c r="B11" s="9" t="inlineStr">
        <is>
          <t>sricci</t>
        </is>
      </c>
      <c r="C11" s="9" t="inlineStr">
        <is>
          <t>Employee</t>
        </is>
      </c>
      <c r="D11" s="9" t="inlineStr">
        <is>
          <t>Engineering</t>
        </is>
      </c>
      <c r="E11" s="9" t="inlineStr">
        <is>
          <t>Engineering Manager</t>
        </is>
      </c>
      <c r="F11" s="9" t="inlineStr">
        <is>
          <t>Grace Lindqvist</t>
        </is>
      </c>
      <c r="G11" s="9" t="inlineStr">
        <is>
          <t>Active</t>
        </is>
      </c>
      <c r="H11" s="9" t="inlineStr">
        <is>
          <t>Okta</t>
        </is>
      </c>
      <c r="I11" s="9" t="inlineStr">
        <is>
          <t>SSO account (standard user)</t>
        </is>
      </c>
      <c r="J11" s="9" t="inlineStr">
        <is>
          <t>N</t>
        </is>
      </c>
      <c r="K11" s="9" t="inlineStr">
        <is>
          <t>N</t>
        </is>
      </c>
      <c r="L11" s="10" t="n">
        <v>44207</v>
      </c>
      <c r="M11" s="10" t="n">
        <v>46203</v>
      </c>
      <c r="N11" s="11" t="inlineStr">
        <is>
          <t>Workforce SSO</t>
        </is>
      </c>
      <c r="O11" s="9" t="inlineStr">
        <is>
          <t>Grace Lindqvist</t>
        </is>
      </c>
      <c r="P11" s="10" t="n">
        <v>46213</v>
      </c>
      <c r="Q11" s="9" t="inlineStr"/>
      <c r="R11" s="9" t="inlineStr">
        <is>
          <t>Retain</t>
        </is>
      </c>
      <c r="S11" s="9" t="inlineStr"/>
      <c r="T11" s="11" t="inlineStr">
        <is>
          <t>None</t>
        </is>
      </c>
      <c r="U11" s="11" t="inlineStr"/>
      <c r="V11" s="9" t="inlineStr"/>
      <c r="W11" s="10" t="n"/>
      <c r="X11" s="9" t="inlineStr">
        <is>
          <t>Completed</t>
        </is>
      </c>
      <c r="Y11" s="10" t="n">
        <v>46213</v>
      </c>
      <c r="Z11" s="9" t="inlineStr"/>
      <c r="AA11" s="9" t="inlineStr"/>
      <c r="AB11" s="9" t="inlineStr"/>
      <c r="AC11" s="11" t="inlineStr"/>
      <c r="AD11">
        <f>IF(S11="",0,IF(COUNTIF(S$2:S11,S11&amp;"")=1,1,0))</f>
        <v/>
      </c>
    </row>
    <row r="12">
      <c r="A12" s="9" t="inlineStr">
        <is>
          <t>ENT-011</t>
        </is>
      </c>
      <c r="B12" s="9" t="inlineStr">
        <is>
          <t>dokonkwo</t>
        </is>
      </c>
      <c r="C12" s="9" t="inlineStr">
        <is>
          <t>Employee</t>
        </is>
      </c>
      <c r="D12" s="9" t="inlineStr">
        <is>
          <t>Engineering</t>
        </is>
      </c>
      <c r="E12" s="9" t="inlineStr">
        <is>
          <t>Senior Software Engineer</t>
        </is>
      </c>
      <c r="F12" s="9" t="inlineStr">
        <is>
          <t>Sofia Ricci</t>
        </is>
      </c>
      <c r="G12" s="9" t="inlineStr">
        <is>
          <t>Active</t>
        </is>
      </c>
      <c r="H12" s="9" t="inlineStr">
        <is>
          <t>Okta</t>
        </is>
      </c>
      <c r="I12" s="9" t="inlineStr">
        <is>
          <t>SSO account (standard user)</t>
        </is>
      </c>
      <c r="J12" s="9" t="inlineStr">
        <is>
          <t>N</t>
        </is>
      </c>
      <c r="K12" s="9" t="inlineStr">
        <is>
          <t>N</t>
        </is>
      </c>
      <c r="L12" s="10" t="n">
        <v>44396</v>
      </c>
      <c r="M12" s="10" t="n">
        <v>46203</v>
      </c>
      <c r="N12" s="11" t="inlineStr">
        <is>
          <t>Workforce SSO</t>
        </is>
      </c>
      <c r="O12" s="9" t="inlineStr">
        <is>
          <t>Sofia Ricci</t>
        </is>
      </c>
      <c r="P12" s="10" t="n">
        <v>46213</v>
      </c>
      <c r="Q12" s="9" t="inlineStr"/>
      <c r="R12" s="9" t="inlineStr">
        <is>
          <t>Retain</t>
        </is>
      </c>
      <c r="S12" s="9" t="inlineStr"/>
      <c r="T12" s="11" t="inlineStr">
        <is>
          <t>None</t>
        </is>
      </c>
      <c r="U12" s="11" t="inlineStr"/>
      <c r="V12" s="9" t="inlineStr"/>
      <c r="W12" s="10" t="n"/>
      <c r="X12" s="9" t="inlineStr">
        <is>
          <t>Completed</t>
        </is>
      </c>
      <c r="Y12" s="10" t="n">
        <v>46213</v>
      </c>
      <c r="Z12" s="9" t="inlineStr"/>
      <c r="AA12" s="9" t="inlineStr"/>
      <c r="AB12" s="9" t="inlineStr"/>
      <c r="AC12" s="11" t="inlineStr"/>
      <c r="AD12">
        <f>IF(S12="",0,IF(COUNTIF(S$2:S12,S12&amp;"")=1,1,0))</f>
        <v/>
      </c>
    </row>
    <row r="13">
      <c r="A13" s="9" t="inlineStr">
        <is>
          <t>ENT-012</t>
        </is>
      </c>
      <c r="B13" s="9" t="inlineStr">
        <is>
          <t>hlarsen</t>
        </is>
      </c>
      <c r="C13" s="9" t="inlineStr">
        <is>
          <t>Employee</t>
        </is>
      </c>
      <c r="D13" s="9" t="inlineStr">
        <is>
          <t>Engineering</t>
        </is>
      </c>
      <c r="E13" s="9" t="inlineStr">
        <is>
          <t>Software Engineer</t>
        </is>
      </c>
      <c r="F13" s="9" t="inlineStr">
        <is>
          <t>Sofia Ricci</t>
        </is>
      </c>
      <c r="G13" s="9" t="inlineStr">
        <is>
          <t>Active</t>
        </is>
      </c>
      <c r="H13" s="9" t="inlineStr">
        <is>
          <t>Okta</t>
        </is>
      </c>
      <c r="I13" s="9" t="inlineStr">
        <is>
          <t>SSO account (standard user)</t>
        </is>
      </c>
      <c r="J13" s="9" t="inlineStr">
        <is>
          <t>N</t>
        </is>
      </c>
      <c r="K13" s="9" t="inlineStr">
        <is>
          <t>N</t>
        </is>
      </c>
      <c r="L13" s="10" t="n">
        <v>44872</v>
      </c>
      <c r="M13" s="10" t="n">
        <v>46202</v>
      </c>
      <c r="N13" s="11" t="inlineStr">
        <is>
          <t>Workforce SSO</t>
        </is>
      </c>
      <c r="O13" s="9" t="inlineStr">
        <is>
          <t>Sofia Ricci</t>
        </is>
      </c>
      <c r="P13" s="10" t="n">
        <v>46213</v>
      </c>
      <c r="Q13" s="9" t="inlineStr"/>
      <c r="R13" s="9" t="inlineStr">
        <is>
          <t>Retain</t>
        </is>
      </c>
      <c r="S13" s="9" t="inlineStr"/>
      <c r="T13" s="11" t="inlineStr">
        <is>
          <t>None</t>
        </is>
      </c>
      <c r="U13" s="11" t="inlineStr"/>
      <c r="V13" s="9" t="inlineStr"/>
      <c r="W13" s="10" t="n"/>
      <c r="X13" s="9" t="inlineStr">
        <is>
          <t>Completed</t>
        </is>
      </c>
      <c r="Y13" s="10" t="n">
        <v>46213</v>
      </c>
      <c r="Z13" s="9" t="inlineStr"/>
      <c r="AA13" s="9" t="inlineStr"/>
      <c r="AB13" s="9" t="inlineStr"/>
      <c r="AC13" s="11" t="inlineStr"/>
      <c r="AD13">
        <f>IF(S13="",0,IF(COUNTIF(S$2:S13,S13&amp;"")=1,1,0))</f>
        <v/>
      </c>
    </row>
    <row r="14">
      <c r="A14" s="9" t="inlineStr">
        <is>
          <t>ENT-013</t>
        </is>
      </c>
      <c r="B14" s="9" t="inlineStr">
        <is>
          <t>rgupta</t>
        </is>
      </c>
      <c r="C14" s="9" t="inlineStr">
        <is>
          <t>Employee</t>
        </is>
      </c>
      <c r="D14" s="9" t="inlineStr">
        <is>
          <t>Engineering</t>
        </is>
      </c>
      <c r="E14" s="9" t="inlineStr">
        <is>
          <t>Software Engineer</t>
        </is>
      </c>
      <c r="F14" s="9" t="inlineStr">
        <is>
          <t>Sofia Ricci</t>
        </is>
      </c>
      <c r="G14" s="9" t="inlineStr">
        <is>
          <t>Active</t>
        </is>
      </c>
      <c r="H14" s="9" t="inlineStr">
        <is>
          <t>Okta</t>
        </is>
      </c>
      <c r="I14" s="9" t="inlineStr">
        <is>
          <t>SSO account (standard user)</t>
        </is>
      </c>
      <c r="J14" s="9" t="inlineStr">
        <is>
          <t>N</t>
        </is>
      </c>
      <c r="K14" s="9" t="inlineStr">
        <is>
          <t>N</t>
        </is>
      </c>
      <c r="L14" s="10" t="n">
        <v>45748</v>
      </c>
      <c r="M14" s="10" t="n">
        <v>46203</v>
      </c>
      <c r="N14" s="11" t="inlineStr">
        <is>
          <t>Workforce SSO</t>
        </is>
      </c>
      <c r="O14" s="9" t="inlineStr">
        <is>
          <t>Sofia Ricci</t>
        </is>
      </c>
      <c r="P14" s="10" t="n">
        <v>46213</v>
      </c>
      <c r="Q14" s="9" t="inlineStr"/>
      <c r="R14" s="9" t="inlineStr">
        <is>
          <t>Retain</t>
        </is>
      </c>
      <c r="S14" s="9" t="inlineStr"/>
      <c r="T14" s="11" t="inlineStr">
        <is>
          <t>None</t>
        </is>
      </c>
      <c r="U14" s="11" t="inlineStr"/>
      <c r="V14" s="9" t="inlineStr"/>
      <c r="W14" s="10" t="n"/>
      <c r="X14" s="9" t="inlineStr">
        <is>
          <t>Completed</t>
        </is>
      </c>
      <c r="Y14" s="10" t="n">
        <v>46213</v>
      </c>
      <c r="Z14" s="9" t="inlineStr"/>
      <c r="AA14" s="9" t="inlineStr"/>
      <c r="AB14" s="9" t="inlineStr"/>
      <c r="AC14" s="11" t="inlineStr"/>
      <c r="AD14">
        <f>IF(S14="",0,IF(COUNTIF(S$2:S14,S14&amp;"")=1,1,0))</f>
        <v/>
      </c>
    </row>
    <row r="15">
      <c r="A15" s="9" t="inlineStr">
        <is>
          <t>ENT-014</t>
        </is>
      </c>
      <c r="B15" s="9" t="inlineStr">
        <is>
          <t>rgupta2</t>
        </is>
      </c>
      <c r="C15" s="9" t="inlineStr">
        <is>
          <t>Contractor</t>
        </is>
      </c>
      <c r="D15" s="9" t="inlineStr">
        <is>
          <t>Engineering</t>
        </is>
      </c>
      <c r="E15" s="9" t="inlineStr">
        <is>
          <t>Contract Software Engineer</t>
        </is>
      </c>
      <c r="F15" s="9" t="inlineStr">
        <is>
          <t>Sofia Ricci</t>
        </is>
      </c>
      <c r="G15" s="9" t="inlineStr">
        <is>
          <t>Terminated</t>
        </is>
      </c>
      <c r="H15" s="9" t="inlineStr">
        <is>
          <t>Okta</t>
        </is>
      </c>
      <c r="I15" s="9" t="inlineStr">
        <is>
          <t>SSO account (standard user)</t>
        </is>
      </c>
      <c r="J15" s="9" t="inlineStr">
        <is>
          <t>N</t>
        </is>
      </c>
      <c r="K15" s="9" t="inlineStr">
        <is>
          <t>N</t>
        </is>
      </c>
      <c r="L15" s="10" t="n">
        <v>45446</v>
      </c>
      <c r="M15" s="10" t="n">
        <v>45744</v>
      </c>
      <c r="N15" s="11" t="inlineStr">
        <is>
          <t>Contractor SSO (Northgate SOW 2024-117)</t>
        </is>
      </c>
      <c r="O15" s="9" t="inlineStr">
        <is>
          <t>Sofia Ricci</t>
        </is>
      </c>
      <c r="P15" s="10" t="n">
        <v>46211</v>
      </c>
      <c r="Q15" s="9" t="inlineStr">
        <is>
          <t>F-DUP; F-INACTIVE; F-TERM</t>
        </is>
      </c>
      <c r="R15" s="9" t="inlineStr">
        <is>
          <t>Revoke</t>
        </is>
      </c>
      <c r="S15" s="9" t="inlineStr">
        <is>
          <t>AR-EX-12</t>
        </is>
      </c>
      <c r="T15" s="11" t="inlineStr">
        <is>
          <t>Duplicate identity: legacy contractor account from before conversion to employee (2025-04-01); unused since 2025-03-28</t>
        </is>
      </c>
      <c r="U15" s="11" t="inlineStr">
        <is>
          <t>Deactivate rgupta2; confirm no tokens remain</t>
        </is>
      </c>
      <c r="V15" s="9" t="inlineStr">
        <is>
          <t>Nadia Rahman</t>
        </is>
      </c>
      <c r="W15" s="10" t="n">
        <v>46220</v>
      </c>
      <c r="X15" s="9" t="inlineStr">
        <is>
          <t>Completed</t>
        </is>
      </c>
      <c r="Y15" s="10" t="n">
        <v>46217</v>
      </c>
      <c r="Z15" s="9" t="inlineStr">
        <is>
          <t>EVID-061</t>
        </is>
      </c>
      <c r="AA15" s="9" t="inlineStr">
        <is>
          <t>FIND-004</t>
        </is>
      </c>
      <c r="AB15" s="9" t="inlineStr">
        <is>
          <t>AC-2</t>
        </is>
      </c>
      <c r="AC15" s="11" t="inlineStr">
        <is>
          <t>Engine flagged this as a terminated worker record; reviewer re-classified it as a duplicate (same person active as rgupta)</t>
        </is>
      </c>
      <c r="AD15">
        <f>IF(S15="",0,IF(COUNTIF(S$2:S15,S15&amp;"")=1,1,0))</f>
        <v/>
      </c>
    </row>
    <row r="16">
      <c r="A16" s="9" t="inlineStr">
        <is>
          <t>ENT-015</t>
        </is>
      </c>
      <c r="B16" s="9" t="inlineStr">
        <is>
          <t>vosei</t>
        </is>
      </c>
      <c r="C16" s="9" t="inlineStr">
        <is>
          <t>Contractor</t>
        </is>
      </c>
      <c r="D16" s="9" t="inlineStr">
        <is>
          <t>Engineering</t>
        </is>
      </c>
      <c r="E16" s="9" t="inlineStr">
        <is>
          <t>Contract Software Engineer</t>
        </is>
      </c>
      <c r="F16" s="9" t="inlineStr">
        <is>
          <t>Sofia Ricci</t>
        </is>
      </c>
      <c r="G16" s="9" t="inlineStr">
        <is>
          <t>Terminated</t>
        </is>
      </c>
      <c r="H16" s="9" t="inlineStr">
        <is>
          <t>Okta</t>
        </is>
      </c>
      <c r="I16" s="9" t="inlineStr">
        <is>
          <t>SSO account (standard user)</t>
        </is>
      </c>
      <c r="J16" s="9" t="inlineStr">
        <is>
          <t>N</t>
        </is>
      </c>
      <c r="K16" s="9" t="inlineStr">
        <is>
          <t>N</t>
        </is>
      </c>
      <c r="L16" s="10" t="n">
        <v>45908</v>
      </c>
      <c r="M16" s="10" t="n">
        <v>46182</v>
      </c>
      <c r="N16" s="11" t="inlineStr">
        <is>
          <t>Contractor SSO (Northgate SOW 2025-044)</t>
        </is>
      </c>
      <c r="O16" s="9" t="inlineStr">
        <is>
          <t>Sofia Ricci</t>
        </is>
      </c>
      <c r="P16" s="10" t="n">
        <v>46209</v>
      </c>
      <c r="Q16" s="9" t="inlineStr">
        <is>
          <t>F-TERM</t>
        </is>
      </c>
      <c r="R16" s="9" t="inlineStr">
        <is>
          <t>Revoke</t>
        </is>
      </c>
      <c r="S16" s="9" t="inlineStr">
        <is>
          <t>AR-EX-02</t>
        </is>
      </c>
      <c r="T16" s="11" t="inlineStr">
        <is>
          <t>Terminated contractor (engagement ended 2026-06-05) still enabled; Okta sign-in on 2026-06-09 after end date</t>
        </is>
      </c>
      <c r="U16" s="11" t="inlineStr">
        <is>
          <t>Disable Okta; revoke sessions; open incident to investigate post-termination sign-in</t>
        </is>
      </c>
      <c r="V16" s="9" t="inlineStr">
        <is>
          <t>Nadia Rahman</t>
        </is>
      </c>
      <c r="W16" s="10" t="n">
        <v>46209</v>
      </c>
      <c r="X16" s="9" t="inlineStr">
        <is>
          <t>Completed</t>
        </is>
      </c>
      <c r="Y16" s="10" t="n">
        <v>46209</v>
      </c>
      <c r="Z16" s="9" t="inlineStr">
        <is>
          <t>EVID-061; EVID-078</t>
        </is>
      </c>
      <c r="AA16" s="9" t="inlineStr">
        <is>
          <t>FIND-001</t>
        </is>
      </c>
      <c r="AB16" s="9" t="inlineStr">
        <is>
          <t>AC-2(3); PS-7; IR-4</t>
        </is>
      </c>
      <c r="AC16" s="11" t="inlineStr">
        <is>
          <t>Escalated to CISO same day as INC-2026-0117 (see incident record)</t>
        </is>
      </c>
      <c r="AD16">
        <f>IF(S16="",0,IF(COUNTIF(S$2:S16,S16&amp;"")=1,1,0))</f>
        <v/>
      </c>
    </row>
    <row r="17">
      <c r="A17" s="9" t="inlineStr">
        <is>
          <t>ENT-016</t>
        </is>
      </c>
      <c r="B17" s="9" t="inlineStr">
        <is>
          <t>awu</t>
        </is>
      </c>
      <c r="C17" s="9" t="inlineStr">
        <is>
          <t>Contractor</t>
        </is>
      </c>
      <c r="D17" s="9" t="inlineStr">
        <is>
          <t>Engineering</t>
        </is>
      </c>
      <c r="E17" s="9" t="inlineStr">
        <is>
          <t>Contract QA Engineer</t>
        </is>
      </c>
      <c r="F17" s="9" t="inlineStr">
        <is>
          <t>Sofia Ricci</t>
        </is>
      </c>
      <c r="G17" s="9" t="inlineStr">
        <is>
          <t>Active</t>
        </is>
      </c>
      <c r="H17" s="9" t="inlineStr">
        <is>
          <t>Okta</t>
        </is>
      </c>
      <c r="I17" s="9" t="inlineStr">
        <is>
          <t>SSO account (standard user)</t>
        </is>
      </c>
      <c r="J17" s="9" t="inlineStr">
        <is>
          <t>N</t>
        </is>
      </c>
      <c r="K17" s="9" t="inlineStr">
        <is>
          <t>N</t>
        </is>
      </c>
      <c r="L17" s="10" t="n">
        <v>45992</v>
      </c>
      <c r="M17" s="10" t="n">
        <v>46203</v>
      </c>
      <c r="N17" s="11" t="inlineStr">
        <is>
          <t>Contractor SSO (Northgate SOW 2025-061)</t>
        </is>
      </c>
      <c r="O17" s="9" t="inlineStr">
        <is>
          <t>Sofia Ricci</t>
        </is>
      </c>
      <c r="P17" s="10" t="n">
        <v>46211</v>
      </c>
      <c r="Q17" s="9" t="inlineStr">
        <is>
          <t>F-CONTRACT</t>
        </is>
      </c>
      <c r="R17" s="9" t="inlineStr">
        <is>
          <t>Retain with exception</t>
        </is>
      </c>
      <c r="S17" s="9" t="inlineStr">
        <is>
          <t>AR-EX-15</t>
        </is>
      </c>
      <c r="T17" s="11" t="inlineStr">
        <is>
          <t>Contract end date (2026-05-31) passed in PeopleHub while the contractor was still engaged; manager confirmed extension and SOW amendment pending</t>
        </is>
      </c>
      <c r="U17" s="11" t="inlineStr">
        <is>
          <t>Execute SOW amendment; update end date in PeopleHub; set Okta account expiry</t>
        </is>
      </c>
      <c r="V17" s="9" t="inlineStr">
        <is>
          <t>Sofia Ricci</t>
        </is>
      </c>
      <c r="W17" s="10" t="n">
        <v>46227</v>
      </c>
      <c r="X17" s="9" t="inlineStr">
        <is>
          <t>Completed</t>
        </is>
      </c>
      <c r="Y17" s="10" t="n">
        <v>46225</v>
      </c>
      <c r="Z17" s="9" t="inlineStr">
        <is>
          <t>EVID-066</t>
        </is>
      </c>
      <c r="AA17" s="9" t="inlineStr">
        <is>
          <t>FIND-006</t>
        </is>
      </c>
      <c r="AB17" s="9" t="inlineStr">
        <is>
          <t>PS-7</t>
        </is>
      </c>
      <c r="AC17" s="11" t="inlineStr">
        <is>
          <t>Ambiguous case: access was legitimate in fact but unsupported on paper for 22 days</t>
        </is>
      </c>
      <c r="AD17">
        <f>IF(S17="",0,IF(COUNTIF(S$2:S17,S17&amp;"")=1,1,0))</f>
        <v/>
      </c>
    </row>
    <row r="18">
      <c r="A18" s="9" t="inlineStr">
        <is>
          <t>ENT-017</t>
        </is>
      </c>
      <c r="B18" s="9" t="inlineStr">
        <is>
          <t>lporter</t>
        </is>
      </c>
      <c r="C18" s="9" t="inlineStr">
        <is>
          <t>Employee</t>
        </is>
      </c>
      <c r="D18" s="9" t="inlineStr">
        <is>
          <t>Data Engineering</t>
        </is>
      </c>
      <c r="E18" s="9" t="inlineStr">
        <is>
          <t>Data Engineering Manager</t>
        </is>
      </c>
      <c r="F18" s="9" t="inlineStr">
        <is>
          <t>Samir Haddad</t>
        </is>
      </c>
      <c r="G18" s="9" t="inlineStr">
        <is>
          <t>Active</t>
        </is>
      </c>
      <c r="H18" s="9" t="inlineStr">
        <is>
          <t>Okta</t>
        </is>
      </c>
      <c r="I18" s="9" t="inlineStr">
        <is>
          <t>SSO account (standard user)</t>
        </is>
      </c>
      <c r="J18" s="9" t="inlineStr">
        <is>
          <t>N</t>
        </is>
      </c>
      <c r="K18" s="9" t="inlineStr">
        <is>
          <t>N</t>
        </is>
      </c>
      <c r="L18" s="10" t="n">
        <v>44319</v>
      </c>
      <c r="M18" s="10" t="n">
        <v>46203</v>
      </c>
      <c r="N18" s="11" t="inlineStr">
        <is>
          <t>Workforce SSO</t>
        </is>
      </c>
      <c r="O18" s="9" t="inlineStr">
        <is>
          <t>Samir Haddad</t>
        </is>
      </c>
      <c r="P18" s="10" t="n">
        <v>46213</v>
      </c>
      <c r="Q18" s="9" t="inlineStr"/>
      <c r="R18" s="9" t="inlineStr">
        <is>
          <t>Retain</t>
        </is>
      </c>
      <c r="S18" s="9" t="inlineStr"/>
      <c r="T18" s="11" t="inlineStr">
        <is>
          <t>None</t>
        </is>
      </c>
      <c r="U18" s="11" t="inlineStr"/>
      <c r="V18" s="9" t="inlineStr"/>
      <c r="W18" s="10" t="n"/>
      <c r="X18" s="9" t="inlineStr">
        <is>
          <t>Completed</t>
        </is>
      </c>
      <c r="Y18" s="10" t="n">
        <v>46213</v>
      </c>
      <c r="Z18" s="9" t="inlineStr"/>
      <c r="AA18" s="9" t="inlineStr"/>
      <c r="AB18" s="9" t="inlineStr"/>
      <c r="AC18" s="11" t="inlineStr"/>
      <c r="AD18">
        <f>IF(S18="",0,IF(COUNTIF(S$2:S18,S18&amp;"")=1,1,0))</f>
        <v/>
      </c>
    </row>
    <row r="19">
      <c r="A19" s="9" t="inlineStr">
        <is>
          <t>ENT-018</t>
        </is>
      </c>
      <c r="B19" s="9" t="inlineStr">
        <is>
          <t>bnguyen</t>
        </is>
      </c>
      <c r="C19" s="9" t="inlineStr">
        <is>
          <t>Employee</t>
        </is>
      </c>
      <c r="D19" s="9" t="inlineStr">
        <is>
          <t>Data Engineering</t>
        </is>
      </c>
      <c r="E19" s="9" t="inlineStr">
        <is>
          <t>Data Engineer</t>
        </is>
      </c>
      <c r="F19" s="9" t="inlineStr">
        <is>
          <t>Liam Porter</t>
        </is>
      </c>
      <c r="G19" s="9" t="inlineStr">
        <is>
          <t>Active</t>
        </is>
      </c>
      <c r="H19" s="9" t="inlineStr">
        <is>
          <t>Okta</t>
        </is>
      </c>
      <c r="I19" s="9" t="inlineStr">
        <is>
          <t>SSO account (standard user)</t>
        </is>
      </c>
      <c r="J19" s="9" t="inlineStr">
        <is>
          <t>N</t>
        </is>
      </c>
      <c r="K19" s="9" t="inlineStr">
        <is>
          <t>N</t>
        </is>
      </c>
      <c r="L19" s="10" t="n">
        <v>44606</v>
      </c>
      <c r="M19" s="10" t="n">
        <v>46203</v>
      </c>
      <c r="N19" s="11" t="inlineStr">
        <is>
          <t>Workforce SSO</t>
        </is>
      </c>
      <c r="O19" s="9" t="inlineStr">
        <is>
          <t>Liam Porter</t>
        </is>
      </c>
      <c r="P19" s="10" t="n">
        <v>46213</v>
      </c>
      <c r="Q19" s="9" t="inlineStr"/>
      <c r="R19" s="9" t="inlineStr">
        <is>
          <t>Retain</t>
        </is>
      </c>
      <c r="S19" s="9" t="inlineStr"/>
      <c r="T19" s="11" t="inlineStr">
        <is>
          <t>None</t>
        </is>
      </c>
      <c r="U19" s="11" t="inlineStr"/>
      <c r="V19" s="9" t="inlineStr"/>
      <c r="W19" s="10" t="n"/>
      <c r="X19" s="9" t="inlineStr">
        <is>
          <t>Completed</t>
        </is>
      </c>
      <c r="Y19" s="10" t="n">
        <v>46213</v>
      </c>
      <c r="Z19" s="9" t="inlineStr"/>
      <c r="AA19" s="9" t="inlineStr"/>
      <c r="AB19" s="9" t="inlineStr"/>
      <c r="AC19" s="11" t="inlineStr"/>
      <c r="AD19">
        <f>IF(S19="",0,IF(COUNTIF(S$2:S19,S19&amp;"")=1,1,0))</f>
        <v/>
      </c>
    </row>
    <row r="20">
      <c r="A20" s="9" t="inlineStr">
        <is>
          <t>ENT-019</t>
        </is>
      </c>
      <c r="B20" s="9" t="inlineStr">
        <is>
          <t>cfernandes</t>
        </is>
      </c>
      <c r="C20" s="9" t="inlineStr">
        <is>
          <t>Employee</t>
        </is>
      </c>
      <c r="D20" s="9" t="inlineStr">
        <is>
          <t>Data Engineering</t>
        </is>
      </c>
      <c r="E20" s="9" t="inlineStr">
        <is>
          <t>Data Engineer</t>
        </is>
      </c>
      <c r="F20" s="9" t="inlineStr">
        <is>
          <t>Liam Porter</t>
        </is>
      </c>
      <c r="G20" s="9" t="inlineStr">
        <is>
          <t>Active</t>
        </is>
      </c>
      <c r="H20" s="9" t="inlineStr">
        <is>
          <t>Okta</t>
        </is>
      </c>
      <c r="I20" s="9" t="inlineStr">
        <is>
          <t>SSO account (standard user)</t>
        </is>
      </c>
      <c r="J20" s="9" t="inlineStr">
        <is>
          <t>N</t>
        </is>
      </c>
      <c r="K20" s="9" t="inlineStr">
        <is>
          <t>N</t>
        </is>
      </c>
      <c r="L20" s="10" t="n">
        <v>45082</v>
      </c>
      <c r="M20" s="10" t="n">
        <v>46203</v>
      </c>
      <c r="N20" s="11" t="inlineStr">
        <is>
          <t>Workforce SSO</t>
        </is>
      </c>
      <c r="O20" s="9" t="inlineStr">
        <is>
          <t>Liam Porter</t>
        </is>
      </c>
      <c r="P20" s="10" t="n">
        <v>46213</v>
      </c>
      <c r="Q20" s="9" t="inlineStr"/>
      <c r="R20" s="9" t="inlineStr">
        <is>
          <t>Retain</t>
        </is>
      </c>
      <c r="S20" s="9" t="inlineStr"/>
      <c r="T20" s="11" t="inlineStr">
        <is>
          <t>None</t>
        </is>
      </c>
      <c r="U20" s="11" t="inlineStr"/>
      <c r="V20" s="9" t="inlineStr"/>
      <c r="W20" s="10" t="n"/>
      <c r="X20" s="9" t="inlineStr">
        <is>
          <t>Completed</t>
        </is>
      </c>
      <c r="Y20" s="10" t="n">
        <v>46213</v>
      </c>
      <c r="Z20" s="9" t="inlineStr"/>
      <c r="AA20" s="9" t="inlineStr"/>
      <c r="AB20" s="9" t="inlineStr"/>
      <c r="AC20" s="11" t="inlineStr"/>
      <c r="AD20">
        <f>IF(S20="",0,IF(COUNTIF(S$2:S20,S20&amp;"")=1,1,0))</f>
        <v/>
      </c>
    </row>
    <row r="21">
      <c r="A21" s="9" t="inlineStr">
        <is>
          <t>ENT-020</t>
        </is>
      </c>
      <c r="B21" s="9" t="inlineStr">
        <is>
          <t>kbrandt</t>
        </is>
      </c>
      <c r="C21" s="9" t="inlineStr">
        <is>
          <t>Employee</t>
        </is>
      </c>
      <c r="D21" s="9" t="inlineStr">
        <is>
          <t>IT</t>
        </is>
      </c>
      <c r="E21" s="9" t="inlineStr">
        <is>
          <t>IT Manager</t>
        </is>
      </c>
      <c r="F21" s="9" t="inlineStr">
        <is>
          <t>Samir Haddad</t>
        </is>
      </c>
      <c r="G21" s="9" t="inlineStr">
        <is>
          <t>Active</t>
        </is>
      </c>
      <c r="H21" s="9" t="inlineStr">
        <is>
          <t>Okta</t>
        </is>
      </c>
      <c r="I21" s="9" t="inlineStr">
        <is>
          <t>SSO account (standard user)</t>
        </is>
      </c>
      <c r="J21" s="9" t="inlineStr">
        <is>
          <t>N</t>
        </is>
      </c>
      <c r="K21" s="9" t="inlineStr">
        <is>
          <t>N</t>
        </is>
      </c>
      <c r="L21" s="10" t="n">
        <v>43717</v>
      </c>
      <c r="M21" s="10" t="n">
        <v>46203</v>
      </c>
      <c r="N21" s="11" t="inlineStr">
        <is>
          <t>Workforce SSO</t>
        </is>
      </c>
      <c r="O21" s="9" t="inlineStr">
        <is>
          <t>Samir Haddad</t>
        </is>
      </c>
      <c r="P21" s="10" t="n">
        <v>46210</v>
      </c>
      <c r="Q21" s="9" t="inlineStr">
        <is>
          <t>F-MFA</t>
        </is>
      </c>
      <c r="R21" s="9" t="inlineStr">
        <is>
          <t>Modify</t>
        </is>
      </c>
      <c r="S21" s="9" t="inlineStr">
        <is>
          <t>AR-EX-11</t>
        </is>
      </c>
      <c r="T21" s="11" t="inlineStr">
        <is>
          <t>Member of MFA-Exempt-Legacy group; MFA not enforced (user also held Okta Super Administrator)</t>
        </is>
      </c>
      <c r="U21" s="11" t="inlineStr">
        <is>
          <t>Remove from exemption group; enroll phishing-resistant MFA</t>
        </is>
      </c>
      <c r="V21" s="9" t="inlineStr">
        <is>
          <t>Nadia Rahman</t>
        </is>
      </c>
      <c r="W21" s="10" t="n">
        <v>46270</v>
      </c>
      <c r="X21" s="9" t="inlineStr">
        <is>
          <t>Completed</t>
        </is>
      </c>
      <c r="Y21" s="10" t="n">
        <v>46262</v>
      </c>
      <c r="Z21" s="9" t="inlineStr">
        <is>
          <t>EVID-063</t>
        </is>
      </c>
      <c r="AA21" s="9" t="inlineStr">
        <is>
          <t>FIND-002</t>
        </is>
      </c>
      <c r="AB21" s="9" t="inlineStr">
        <is>
          <t>IA-2(1); IA-2(2)</t>
        </is>
      </c>
      <c r="AC21" s="11" t="inlineStr">
        <is>
          <t>Exemption dated 2023 (MFA outage troubleshooting) and never removed</t>
        </is>
      </c>
      <c r="AD21">
        <f>IF(S21="",0,IF(COUNTIF(S$2:S21,S21&amp;"")=1,1,0))</f>
        <v/>
      </c>
    </row>
    <row r="22">
      <c r="A22" s="9" t="inlineStr">
        <is>
          <t>ENT-021</t>
        </is>
      </c>
      <c r="B22" s="9" t="inlineStr">
        <is>
          <t>tjohnson</t>
        </is>
      </c>
      <c r="C22" s="9" t="inlineStr">
        <is>
          <t>Employee</t>
        </is>
      </c>
      <c r="D22" s="9" t="inlineStr">
        <is>
          <t>IT</t>
        </is>
      </c>
      <c r="E22" s="9" t="inlineStr">
        <is>
          <t>IT Support Specialist</t>
        </is>
      </c>
      <c r="F22" s="9" t="inlineStr">
        <is>
          <t>Kevin Brandt</t>
        </is>
      </c>
      <c r="G22" s="9" t="inlineStr">
        <is>
          <t>Active</t>
        </is>
      </c>
      <c r="H22" s="9" t="inlineStr">
        <is>
          <t>Okta</t>
        </is>
      </c>
      <c r="I22" s="9" t="inlineStr">
        <is>
          <t>SSO account (standard user)</t>
        </is>
      </c>
      <c r="J22" s="9" t="inlineStr">
        <is>
          <t>N</t>
        </is>
      </c>
      <c r="K22" s="9" t="inlineStr">
        <is>
          <t>N</t>
        </is>
      </c>
      <c r="L22" s="10" t="n">
        <v>45327</v>
      </c>
      <c r="M22" s="10" t="n">
        <v>46203</v>
      </c>
      <c r="N22" s="11" t="inlineStr">
        <is>
          <t>Workforce SSO</t>
        </is>
      </c>
      <c r="O22" s="9" t="inlineStr">
        <is>
          <t>Kevin Brandt</t>
        </is>
      </c>
      <c r="P22" s="10" t="n">
        <v>46213</v>
      </c>
      <c r="Q22" s="9" t="inlineStr"/>
      <c r="R22" s="9" t="inlineStr">
        <is>
          <t>Retain</t>
        </is>
      </c>
      <c r="S22" s="9" t="inlineStr"/>
      <c r="T22" s="11" t="inlineStr">
        <is>
          <t>None</t>
        </is>
      </c>
      <c r="U22" s="11" t="inlineStr"/>
      <c r="V22" s="9" t="inlineStr"/>
      <c r="W22" s="10" t="n"/>
      <c r="X22" s="9" t="inlineStr">
        <is>
          <t>Completed</t>
        </is>
      </c>
      <c r="Y22" s="10" t="n">
        <v>46213</v>
      </c>
      <c r="Z22" s="9" t="inlineStr"/>
      <c r="AA22" s="9" t="inlineStr"/>
      <c r="AB22" s="9" t="inlineStr"/>
      <c r="AC22" s="11" t="inlineStr"/>
      <c r="AD22">
        <f>IF(S22="",0,IF(COUNTIF(S$2:S22,S22&amp;"")=1,1,0))</f>
        <v/>
      </c>
    </row>
    <row r="23">
      <c r="A23" s="9" t="inlineStr">
        <is>
          <t>ENT-022</t>
        </is>
      </c>
      <c r="B23" s="9" t="inlineStr">
        <is>
          <t>rokafor</t>
        </is>
      </c>
      <c r="C23" s="9" t="inlineStr">
        <is>
          <t>Employee</t>
        </is>
      </c>
      <c r="D23" s="9" t="inlineStr">
        <is>
          <t>Finance</t>
        </is>
      </c>
      <c r="E23" s="9" t="inlineStr">
        <is>
          <t>Chief Financial Officer</t>
        </is>
      </c>
      <c r="F23" s="9" t="inlineStr">
        <is>
          <t>Elena Marsh</t>
        </is>
      </c>
      <c r="G23" s="9" t="inlineStr">
        <is>
          <t>Active</t>
        </is>
      </c>
      <c r="H23" s="9" t="inlineStr">
        <is>
          <t>Okta</t>
        </is>
      </c>
      <c r="I23" s="9" t="inlineStr">
        <is>
          <t>SSO account (standard user)</t>
        </is>
      </c>
      <c r="J23" s="9" t="inlineStr">
        <is>
          <t>N</t>
        </is>
      </c>
      <c r="K23" s="9" t="inlineStr">
        <is>
          <t>N</t>
        </is>
      </c>
      <c r="L23" s="10" t="n">
        <v>43836</v>
      </c>
      <c r="M23" s="10" t="n">
        <v>46199</v>
      </c>
      <c r="N23" s="11" t="inlineStr">
        <is>
          <t>Workforce SSO</t>
        </is>
      </c>
      <c r="O23" s="9" t="inlineStr">
        <is>
          <t>Elena Marsh</t>
        </is>
      </c>
      <c r="P23" s="10" t="n">
        <v>46213</v>
      </c>
      <c r="Q23" s="9" t="inlineStr"/>
      <c r="R23" s="9" t="inlineStr">
        <is>
          <t>Retain</t>
        </is>
      </c>
      <c r="S23" s="9" t="inlineStr"/>
      <c r="T23" s="11" t="inlineStr">
        <is>
          <t>None</t>
        </is>
      </c>
      <c r="U23" s="11" t="inlineStr"/>
      <c r="V23" s="9" t="inlineStr"/>
      <c r="W23" s="10" t="n"/>
      <c r="X23" s="9" t="inlineStr">
        <is>
          <t>Completed</t>
        </is>
      </c>
      <c r="Y23" s="10" t="n">
        <v>46213</v>
      </c>
      <c r="Z23" s="9" t="inlineStr"/>
      <c r="AA23" s="9" t="inlineStr"/>
      <c r="AB23" s="9" t="inlineStr"/>
      <c r="AC23" s="11" t="inlineStr"/>
      <c r="AD23">
        <f>IF(S23="",0,IF(COUNTIF(S$2:S23,S23&amp;"")=1,1,0))</f>
        <v/>
      </c>
    </row>
    <row r="24">
      <c r="A24" s="9" t="inlineStr">
        <is>
          <t>ENT-023</t>
        </is>
      </c>
      <c r="B24" s="9" t="inlineStr">
        <is>
          <t>lbrenneman</t>
        </is>
      </c>
      <c r="C24" s="9" t="inlineStr">
        <is>
          <t>Employee</t>
        </is>
      </c>
      <c r="D24" s="9" t="inlineStr">
        <is>
          <t>Finance</t>
        </is>
      </c>
      <c r="E24" s="9" t="inlineStr">
        <is>
          <t>Controller</t>
        </is>
      </c>
      <c r="F24" s="9" t="inlineStr">
        <is>
          <t>Raymond Okafor</t>
        </is>
      </c>
      <c r="G24" s="9" t="inlineStr">
        <is>
          <t>Active</t>
        </is>
      </c>
      <c r="H24" s="9" t="inlineStr">
        <is>
          <t>Okta</t>
        </is>
      </c>
      <c r="I24" s="9" t="inlineStr">
        <is>
          <t>SSO account (standard user)</t>
        </is>
      </c>
      <c r="J24" s="9" t="inlineStr">
        <is>
          <t>N</t>
        </is>
      </c>
      <c r="K24" s="9" t="inlineStr">
        <is>
          <t>N</t>
        </is>
      </c>
      <c r="L24" s="10" t="n">
        <v>44473</v>
      </c>
      <c r="M24" s="10" t="n">
        <v>46203</v>
      </c>
      <c r="N24" s="11" t="inlineStr">
        <is>
          <t>Workforce SSO</t>
        </is>
      </c>
      <c r="O24" s="9" t="inlineStr">
        <is>
          <t>Raymond Okafor</t>
        </is>
      </c>
      <c r="P24" s="10" t="n">
        <v>46213</v>
      </c>
      <c r="Q24" s="9" t="inlineStr"/>
      <c r="R24" s="9" t="inlineStr">
        <is>
          <t>Retain</t>
        </is>
      </c>
      <c r="S24" s="9" t="inlineStr"/>
      <c r="T24" s="11" t="inlineStr">
        <is>
          <t>None</t>
        </is>
      </c>
      <c r="U24" s="11" t="inlineStr"/>
      <c r="V24" s="9" t="inlineStr"/>
      <c r="W24" s="10" t="n"/>
      <c r="X24" s="9" t="inlineStr">
        <is>
          <t>Completed</t>
        </is>
      </c>
      <c r="Y24" s="10" t="n">
        <v>46213</v>
      </c>
      <c r="Z24" s="9" t="inlineStr"/>
      <c r="AA24" s="9" t="inlineStr"/>
      <c r="AB24" s="9" t="inlineStr"/>
      <c r="AC24" s="11" t="inlineStr"/>
      <c r="AD24">
        <f>IF(S24="",0,IF(COUNTIF(S$2:S24,S24&amp;"")=1,1,0))</f>
        <v/>
      </c>
    </row>
    <row r="25">
      <c r="A25" s="9" t="inlineStr">
        <is>
          <t>ENT-024</t>
        </is>
      </c>
      <c r="B25" s="9" t="inlineStr">
        <is>
          <t>jmercer</t>
        </is>
      </c>
      <c r="C25" s="9" t="inlineStr">
        <is>
          <t>Employee</t>
        </is>
      </c>
      <c r="D25" s="9" t="inlineStr">
        <is>
          <t>Finance</t>
        </is>
      </c>
      <c r="E25" s="9" t="inlineStr">
        <is>
          <t>Senior Accountant</t>
        </is>
      </c>
      <c r="F25" s="9" t="inlineStr">
        <is>
          <t>Laura Brenneman</t>
        </is>
      </c>
      <c r="G25" s="9" t="inlineStr">
        <is>
          <t>Active</t>
        </is>
      </c>
      <c r="H25" s="9" t="inlineStr">
        <is>
          <t>Okta</t>
        </is>
      </c>
      <c r="I25" s="9" t="inlineStr">
        <is>
          <t>SSO account (standard user)</t>
        </is>
      </c>
      <c r="J25" s="9" t="inlineStr">
        <is>
          <t>N</t>
        </is>
      </c>
      <c r="K25" s="9" t="inlineStr">
        <is>
          <t>N</t>
        </is>
      </c>
      <c r="L25" s="10" t="n">
        <v>44795</v>
      </c>
      <c r="M25" s="10" t="n">
        <v>46203</v>
      </c>
      <c r="N25" s="11" t="inlineStr">
        <is>
          <t>Workforce SSO</t>
        </is>
      </c>
      <c r="O25" s="9" t="inlineStr">
        <is>
          <t>Laura Brenneman</t>
        </is>
      </c>
      <c r="P25" s="10" t="n">
        <v>46213</v>
      </c>
      <c r="Q25" s="9" t="inlineStr"/>
      <c r="R25" s="9" t="inlineStr">
        <is>
          <t>Retain</t>
        </is>
      </c>
      <c r="S25" s="9" t="inlineStr"/>
      <c r="T25" s="11" t="inlineStr">
        <is>
          <t>None</t>
        </is>
      </c>
      <c r="U25" s="11" t="inlineStr"/>
      <c r="V25" s="9" t="inlineStr"/>
      <c r="W25" s="10" t="n"/>
      <c r="X25" s="9" t="inlineStr">
        <is>
          <t>Completed</t>
        </is>
      </c>
      <c r="Y25" s="10" t="n">
        <v>46213</v>
      </c>
      <c r="Z25" s="9" t="inlineStr"/>
      <c r="AA25" s="9" t="inlineStr"/>
      <c r="AB25" s="9" t="inlineStr"/>
      <c r="AC25" s="11" t="inlineStr"/>
      <c r="AD25">
        <f>IF(S25="",0,IF(COUNTIF(S$2:S25,S25&amp;"")=1,1,0))</f>
        <v/>
      </c>
    </row>
    <row r="26">
      <c r="A26" s="9" t="inlineStr">
        <is>
          <t>ENT-025</t>
        </is>
      </c>
      <c r="B26" s="9" t="inlineStr">
        <is>
          <t>dwhitlock</t>
        </is>
      </c>
      <c r="C26" s="9" t="inlineStr">
        <is>
          <t>Employee</t>
        </is>
      </c>
      <c r="D26" s="9" t="inlineStr">
        <is>
          <t>Finance</t>
        </is>
      </c>
      <c r="E26" s="9" t="inlineStr">
        <is>
          <t>AP Specialist</t>
        </is>
      </c>
      <c r="F26" s="9" t="inlineStr">
        <is>
          <t>Laura Brenneman</t>
        </is>
      </c>
      <c r="G26" s="9" t="inlineStr">
        <is>
          <t>Terminated</t>
        </is>
      </c>
      <c r="H26" s="9" t="inlineStr">
        <is>
          <t>Okta</t>
        </is>
      </c>
      <c r="I26" s="9" t="inlineStr">
        <is>
          <t>SSO account (standard user)</t>
        </is>
      </c>
      <c r="J26" s="9" t="inlineStr">
        <is>
          <t>N</t>
        </is>
      </c>
      <c r="K26" s="9" t="inlineStr">
        <is>
          <t>N</t>
        </is>
      </c>
      <c r="L26" s="10" t="n">
        <v>45033</v>
      </c>
      <c r="M26" s="10" t="n">
        <v>46163</v>
      </c>
      <c r="N26" s="11" t="inlineStr">
        <is>
          <t>Workforce SSO</t>
        </is>
      </c>
      <c r="O26" s="9" t="inlineStr">
        <is>
          <t>Laura Brenneman</t>
        </is>
      </c>
      <c r="P26" s="10" t="n">
        <v>46209</v>
      </c>
      <c r="Q26" s="9" t="inlineStr">
        <is>
          <t>F-TERM</t>
        </is>
      </c>
      <c r="R26" s="9" t="inlineStr">
        <is>
          <t>Revoke</t>
        </is>
      </c>
      <c r="S26" s="9" t="inlineStr">
        <is>
          <t>AR-EX-01</t>
        </is>
      </c>
      <c r="T26" s="11" t="inlineStr">
        <is>
          <t>Terminated employee (2026-05-22) still enabled in Okta</t>
        </is>
      </c>
      <c r="U26" s="11" t="inlineStr">
        <is>
          <t>Disable Okta account; confirm no sign-in after termination</t>
        </is>
      </c>
      <c r="V26" s="9" t="inlineStr">
        <is>
          <t>Nadia Rahman</t>
        </is>
      </c>
      <c r="W26" s="10" t="n">
        <v>46210</v>
      </c>
      <c r="X26" s="9" t="inlineStr">
        <is>
          <t>Completed</t>
        </is>
      </c>
      <c r="Y26" s="10" t="n">
        <v>46209</v>
      </c>
      <c r="Z26" s="9" t="inlineStr">
        <is>
          <t>EVID-061</t>
        </is>
      </c>
      <c r="AA26" s="9" t="inlineStr">
        <is>
          <t>FIND-001</t>
        </is>
      </c>
      <c r="AB26" s="9" t="inlineStr">
        <is>
          <t>AC-2(3); PS-4</t>
        </is>
      </c>
      <c r="AC26" s="11" t="inlineStr">
        <is>
          <t>No sign-in after 2026-05-21 per Okta System Log</t>
        </is>
      </c>
      <c r="AD26">
        <f>IF(S26="",0,IF(COUNTIF(S$2:S26,S26&amp;"")=1,1,0))</f>
        <v/>
      </c>
    </row>
    <row r="27">
      <c r="A27" s="9" t="inlineStr">
        <is>
          <t>ENT-026</t>
        </is>
      </c>
      <c r="B27" s="9" t="inlineStr">
        <is>
          <t>bkowalski</t>
        </is>
      </c>
      <c r="C27" s="9" t="inlineStr">
        <is>
          <t>Employee</t>
        </is>
      </c>
      <c r="D27" s="9" t="inlineStr">
        <is>
          <t>Finance</t>
        </is>
      </c>
      <c r="E27" s="9" t="inlineStr">
        <is>
          <t>Vendor Management Lead</t>
        </is>
      </c>
      <c r="F27" s="9" t="inlineStr">
        <is>
          <t>Raymond Okafor</t>
        </is>
      </c>
      <c r="G27" s="9" t="inlineStr">
        <is>
          <t>Active</t>
        </is>
      </c>
      <c r="H27" s="9" t="inlineStr">
        <is>
          <t>Okta</t>
        </is>
      </c>
      <c r="I27" s="9" t="inlineStr">
        <is>
          <t>SSO account (standard user)</t>
        </is>
      </c>
      <c r="J27" s="9" t="inlineStr">
        <is>
          <t>N</t>
        </is>
      </c>
      <c r="K27" s="9" t="inlineStr">
        <is>
          <t>N</t>
        </is>
      </c>
      <c r="L27" s="10" t="n">
        <v>45180</v>
      </c>
      <c r="M27" s="10" t="n">
        <v>46202</v>
      </c>
      <c r="N27" s="11" t="inlineStr">
        <is>
          <t>Workforce SSO</t>
        </is>
      </c>
      <c r="O27" s="9" t="inlineStr">
        <is>
          <t>Raymond Okafor</t>
        </is>
      </c>
      <c r="P27" s="10" t="n">
        <v>46213</v>
      </c>
      <c r="Q27" s="9" t="inlineStr"/>
      <c r="R27" s="9" t="inlineStr">
        <is>
          <t>Retain</t>
        </is>
      </c>
      <c r="S27" s="9" t="inlineStr"/>
      <c r="T27" s="11" t="inlineStr">
        <is>
          <t>None</t>
        </is>
      </c>
      <c r="U27" s="11" t="inlineStr"/>
      <c r="V27" s="9" t="inlineStr"/>
      <c r="W27" s="10" t="n"/>
      <c r="X27" s="9" t="inlineStr">
        <is>
          <t>Completed</t>
        </is>
      </c>
      <c r="Y27" s="10" t="n">
        <v>46213</v>
      </c>
      <c r="Z27" s="9" t="inlineStr"/>
      <c r="AA27" s="9" t="inlineStr"/>
      <c r="AB27" s="9" t="inlineStr"/>
      <c r="AC27" s="11" t="inlineStr"/>
      <c r="AD27">
        <f>IF(S27="",0,IF(COUNTIF(S$2:S27,S27&amp;"")=1,1,0))</f>
        <v/>
      </c>
    </row>
    <row r="28">
      <c r="A28" s="9" t="inlineStr">
        <is>
          <t>ENT-027</t>
        </is>
      </c>
      <c r="B28" s="9" t="inlineStr">
        <is>
          <t>dyamamoto</t>
        </is>
      </c>
      <c r="C28" s="9" t="inlineStr">
        <is>
          <t>Employee</t>
        </is>
      </c>
      <c r="D28" s="9" t="inlineStr">
        <is>
          <t>People</t>
        </is>
      </c>
      <c r="E28" s="9" t="inlineStr">
        <is>
          <t>Director of People</t>
        </is>
      </c>
      <c r="F28" s="9" t="inlineStr">
        <is>
          <t>Elena Marsh</t>
        </is>
      </c>
      <c r="G28" s="9" t="inlineStr">
        <is>
          <t>Active</t>
        </is>
      </c>
      <c r="H28" s="9" t="inlineStr">
        <is>
          <t>Okta</t>
        </is>
      </c>
      <c r="I28" s="9" t="inlineStr">
        <is>
          <t>SSO account (standard user)</t>
        </is>
      </c>
      <c r="J28" s="9" t="inlineStr">
        <is>
          <t>N</t>
        </is>
      </c>
      <c r="K28" s="9" t="inlineStr">
        <is>
          <t>N</t>
        </is>
      </c>
      <c r="L28" s="10" t="n">
        <v>43892</v>
      </c>
      <c r="M28" s="10" t="n">
        <v>46203</v>
      </c>
      <c r="N28" s="11" t="inlineStr">
        <is>
          <t>Workforce SSO</t>
        </is>
      </c>
      <c r="O28" s="9" t="inlineStr">
        <is>
          <t>Elena Marsh</t>
        </is>
      </c>
      <c r="P28" s="10" t="n">
        <v>46213</v>
      </c>
      <c r="Q28" s="9" t="inlineStr"/>
      <c r="R28" s="9" t="inlineStr">
        <is>
          <t>Retain</t>
        </is>
      </c>
      <c r="S28" s="9" t="inlineStr"/>
      <c r="T28" s="11" t="inlineStr">
        <is>
          <t>None</t>
        </is>
      </c>
      <c r="U28" s="11" t="inlineStr"/>
      <c r="V28" s="9" t="inlineStr"/>
      <c r="W28" s="10" t="n"/>
      <c r="X28" s="9" t="inlineStr">
        <is>
          <t>Completed</t>
        </is>
      </c>
      <c r="Y28" s="10" t="n">
        <v>46213</v>
      </c>
      <c r="Z28" s="9" t="inlineStr"/>
      <c r="AA28" s="9" t="inlineStr"/>
      <c r="AB28" s="9" t="inlineStr"/>
      <c r="AC28" s="11" t="inlineStr"/>
      <c r="AD28">
        <f>IF(S28="",0,IF(COUNTIF(S$2:S28,S28&amp;"")=1,1,0))</f>
        <v/>
      </c>
    </row>
    <row r="29">
      <c r="A29" s="9" t="inlineStr">
        <is>
          <t>ENT-028</t>
        </is>
      </c>
      <c r="B29" s="9" t="inlineStr">
        <is>
          <t>mcole</t>
        </is>
      </c>
      <c r="C29" s="9" t="inlineStr">
        <is>
          <t>Employee</t>
        </is>
      </c>
      <c r="D29" s="9" t="inlineStr">
        <is>
          <t>People</t>
        </is>
      </c>
      <c r="E29" s="9" t="inlineStr">
        <is>
          <t>HR Business Partner</t>
        </is>
      </c>
      <c r="F29" s="9" t="inlineStr">
        <is>
          <t>Denise Yamamoto</t>
        </is>
      </c>
      <c r="G29" s="9" t="inlineStr">
        <is>
          <t>Active</t>
        </is>
      </c>
      <c r="H29" s="9" t="inlineStr">
        <is>
          <t>Okta</t>
        </is>
      </c>
      <c r="I29" s="9" t="inlineStr">
        <is>
          <t>SSO account (standard user)</t>
        </is>
      </c>
      <c r="J29" s="9" t="inlineStr">
        <is>
          <t>N</t>
        </is>
      </c>
      <c r="K29" s="9" t="inlineStr">
        <is>
          <t>N</t>
        </is>
      </c>
      <c r="L29" s="10" t="n">
        <v>44739</v>
      </c>
      <c r="M29" s="10" t="n">
        <v>46203</v>
      </c>
      <c r="N29" s="11" t="inlineStr">
        <is>
          <t>Workforce SSO</t>
        </is>
      </c>
      <c r="O29" s="9" t="inlineStr">
        <is>
          <t>Denise Yamamoto</t>
        </is>
      </c>
      <c r="P29" s="10" t="n">
        <v>46210</v>
      </c>
      <c r="Q29" s="9" t="inlineStr">
        <is>
          <t>F-MFA</t>
        </is>
      </c>
      <c r="R29" s="9" t="inlineStr">
        <is>
          <t>Modify</t>
        </is>
      </c>
      <c r="S29" s="9" t="inlineStr">
        <is>
          <t>AR-EX-11</t>
        </is>
      </c>
      <c r="T29" s="11" t="inlineStr">
        <is>
          <t>Member of MFA-Exempt-Legacy group; MFA not enforced</t>
        </is>
      </c>
      <c r="U29" s="11" t="inlineStr">
        <is>
          <t>Remove from exemption group; enroll MFA</t>
        </is>
      </c>
      <c r="V29" s="9" t="inlineStr">
        <is>
          <t>Nadia Rahman</t>
        </is>
      </c>
      <c r="W29" s="10" t="n">
        <v>46270</v>
      </c>
      <c r="X29" s="9" t="inlineStr">
        <is>
          <t>Completed</t>
        </is>
      </c>
      <c r="Y29" s="10" t="n">
        <v>46262</v>
      </c>
      <c r="Z29" s="9" t="inlineStr">
        <is>
          <t>EVID-063</t>
        </is>
      </c>
      <c r="AA29" s="9" t="inlineStr">
        <is>
          <t>FIND-002</t>
        </is>
      </c>
      <c r="AB29" s="9" t="inlineStr">
        <is>
          <t>IA-2(2)</t>
        </is>
      </c>
      <c r="AC29" s="11" t="inlineStr">
        <is>
          <t>"Temporary" exemption for a lost phone in 2025 never removed</t>
        </is>
      </c>
      <c r="AD29">
        <f>IF(S29="",0,IF(COUNTIF(S$2:S29,S29&amp;"")=1,1,0))</f>
        <v/>
      </c>
    </row>
    <row r="30">
      <c r="A30" s="9" t="inlineStr">
        <is>
          <t>ENT-029</t>
        </is>
      </c>
      <c r="B30" s="9" t="inlineStr">
        <is>
          <t>sparks</t>
        </is>
      </c>
      <c r="C30" s="9" t="inlineStr">
        <is>
          <t>Employee</t>
        </is>
      </c>
      <c r="D30" s="9" t="inlineStr">
        <is>
          <t>Product</t>
        </is>
      </c>
      <c r="E30" s="9" t="inlineStr">
        <is>
          <t>Product Manager</t>
        </is>
      </c>
      <c r="F30" s="9" t="inlineStr">
        <is>
          <t>Grace Lindqvist</t>
        </is>
      </c>
      <c r="G30" s="9" t="inlineStr">
        <is>
          <t>Active</t>
        </is>
      </c>
      <c r="H30" s="9" t="inlineStr">
        <is>
          <t>Okta</t>
        </is>
      </c>
      <c r="I30" s="9" t="inlineStr">
        <is>
          <t>SSO account (standard user)</t>
        </is>
      </c>
      <c r="J30" s="9" t="inlineStr">
        <is>
          <t>N</t>
        </is>
      </c>
      <c r="K30" s="9" t="inlineStr">
        <is>
          <t>N</t>
        </is>
      </c>
      <c r="L30" s="10" t="n">
        <v>45117</v>
      </c>
      <c r="M30" s="10" t="n">
        <v>46203</v>
      </c>
      <c r="N30" s="11" t="inlineStr">
        <is>
          <t>Workforce SSO</t>
        </is>
      </c>
      <c r="O30" s="9" t="inlineStr">
        <is>
          <t>Grace Lindqvist</t>
        </is>
      </c>
      <c r="P30" s="10" t="n">
        <v>46213</v>
      </c>
      <c r="Q30" s="9" t="inlineStr"/>
      <c r="R30" s="9" t="inlineStr">
        <is>
          <t>Retain</t>
        </is>
      </c>
      <c r="S30" s="9" t="inlineStr"/>
      <c r="T30" s="11" t="inlineStr">
        <is>
          <t>None</t>
        </is>
      </c>
      <c r="U30" s="11" t="inlineStr"/>
      <c r="V30" s="9" t="inlineStr"/>
      <c r="W30" s="10" t="n"/>
      <c r="X30" s="9" t="inlineStr">
        <is>
          <t>Completed</t>
        </is>
      </c>
      <c r="Y30" s="10" t="n">
        <v>46213</v>
      </c>
      <c r="Z30" s="9" t="inlineStr"/>
      <c r="AA30" s="9" t="inlineStr"/>
      <c r="AB30" s="9" t="inlineStr"/>
      <c r="AC30" s="11" t="inlineStr"/>
      <c r="AD30">
        <f>IF(S30="",0,IF(COUNTIF(S$2:S30,S30&amp;"")=1,1,0))</f>
        <v/>
      </c>
    </row>
    <row r="31">
      <c r="A31" s="9" t="inlineStr">
        <is>
          <t>ENT-030</t>
        </is>
      </c>
      <c r="B31" s="9" t="inlineStr">
        <is>
          <t>tmaddox</t>
        </is>
      </c>
      <c r="C31" s="9" t="inlineStr">
        <is>
          <t>Employee</t>
        </is>
      </c>
      <c r="D31" s="9" t="inlineStr">
        <is>
          <t>Customer Operations</t>
        </is>
      </c>
      <c r="E31" s="9" t="inlineStr">
        <is>
          <t>Support Engineer</t>
        </is>
      </c>
      <c r="F31" s="9" t="inlineStr">
        <is>
          <t>Jorge Almeida</t>
        </is>
      </c>
      <c r="G31" s="9" t="inlineStr">
        <is>
          <t>Active</t>
        </is>
      </c>
      <c r="H31" s="9" t="inlineStr">
        <is>
          <t>Okta</t>
        </is>
      </c>
      <c r="I31" s="9" t="inlineStr">
        <is>
          <t>SSO account (standard user)</t>
        </is>
      </c>
      <c r="J31" s="9" t="inlineStr">
        <is>
          <t>N</t>
        </is>
      </c>
      <c r="K31" s="9" t="inlineStr">
        <is>
          <t>N</t>
        </is>
      </c>
      <c r="L31" s="10" t="n">
        <v>44837</v>
      </c>
      <c r="M31" s="10" t="n">
        <v>46203</v>
      </c>
      <c r="N31" s="11" t="inlineStr">
        <is>
          <t>Workforce SSO</t>
        </is>
      </c>
      <c r="O31" s="9" t="inlineStr">
        <is>
          <t>Jorge Almeida</t>
        </is>
      </c>
      <c r="P31" s="10" t="n">
        <v>46213</v>
      </c>
      <c r="Q31" s="9" t="inlineStr"/>
      <c r="R31" s="9" t="inlineStr">
        <is>
          <t>Retain</t>
        </is>
      </c>
      <c r="S31" s="9" t="inlineStr"/>
      <c r="T31" s="11" t="inlineStr">
        <is>
          <t>None</t>
        </is>
      </c>
      <c r="U31" s="11" t="inlineStr"/>
      <c r="V31" s="9" t="inlineStr"/>
      <c r="W31" s="10" t="n"/>
      <c r="X31" s="9" t="inlineStr">
        <is>
          <t>Completed</t>
        </is>
      </c>
      <c r="Y31" s="10" t="n">
        <v>46213</v>
      </c>
      <c r="Z31" s="9" t="inlineStr"/>
      <c r="AA31" s="9" t="inlineStr"/>
      <c r="AB31" s="9" t="inlineStr"/>
      <c r="AC31" s="11" t="inlineStr"/>
      <c r="AD31">
        <f>IF(S31="",0,IF(COUNTIF(S$2:S31,S31&amp;"")=1,1,0))</f>
        <v/>
      </c>
    </row>
    <row r="32">
      <c r="A32" s="9" t="inlineStr">
        <is>
          <t>ENT-031</t>
        </is>
      </c>
      <c r="B32" s="9" t="inlineStr">
        <is>
          <t>ebrooks</t>
        </is>
      </c>
      <c r="C32" s="9" t="inlineStr">
        <is>
          <t>Employee</t>
        </is>
      </c>
      <c r="D32" s="9" t="inlineStr">
        <is>
          <t>Customer Operations</t>
        </is>
      </c>
      <c r="E32" s="9" t="inlineStr">
        <is>
          <t>Support Engineer</t>
        </is>
      </c>
      <c r="F32" s="9" t="inlineStr">
        <is>
          <t>Jorge Almeida</t>
        </is>
      </c>
      <c r="G32" s="9" t="inlineStr">
        <is>
          <t>Active</t>
        </is>
      </c>
      <c r="H32" s="9" t="inlineStr">
        <is>
          <t>Okta</t>
        </is>
      </c>
      <c r="I32" s="9" t="inlineStr">
        <is>
          <t>SSO account (standard user)</t>
        </is>
      </c>
      <c r="J32" s="9" t="inlineStr">
        <is>
          <t>N</t>
        </is>
      </c>
      <c r="K32" s="9" t="inlineStr">
        <is>
          <t>N</t>
        </is>
      </c>
      <c r="L32" s="10" t="n">
        <v>45432</v>
      </c>
      <c r="M32" s="10" t="n">
        <v>46203</v>
      </c>
      <c r="N32" s="11" t="inlineStr">
        <is>
          <t>Workforce SSO</t>
        </is>
      </c>
      <c r="O32" s="9" t="inlineStr">
        <is>
          <t>Jorge Almeida</t>
        </is>
      </c>
      <c r="P32" s="10" t="n">
        <v>46213</v>
      </c>
      <c r="Q32" s="9" t="inlineStr"/>
      <c r="R32" s="9" t="inlineStr">
        <is>
          <t>Retain</t>
        </is>
      </c>
      <c r="S32" s="9" t="inlineStr"/>
      <c r="T32" s="11" t="inlineStr">
        <is>
          <t>None</t>
        </is>
      </c>
      <c r="U32" s="11" t="inlineStr"/>
      <c r="V32" s="9" t="inlineStr"/>
      <c r="W32" s="10" t="n"/>
      <c r="X32" s="9" t="inlineStr">
        <is>
          <t>Completed</t>
        </is>
      </c>
      <c r="Y32" s="10" t="n">
        <v>46213</v>
      </c>
      <c r="Z32" s="9" t="inlineStr"/>
      <c r="AA32" s="9" t="inlineStr"/>
      <c r="AB32" s="9" t="inlineStr"/>
      <c r="AC32" s="11" t="inlineStr"/>
      <c r="AD32">
        <f>IF(S32="",0,IF(COUNTIF(S$2:S32,S32&amp;"")=1,1,0))</f>
        <v/>
      </c>
    </row>
    <row r="33">
      <c r="A33" s="9" t="inlineStr">
        <is>
          <t>ENT-032</t>
        </is>
      </c>
      <c r="B33" s="9" t="inlineStr">
        <is>
          <t>mcastell</t>
        </is>
      </c>
      <c r="C33" s="9" t="inlineStr">
        <is>
          <t>Employee</t>
        </is>
      </c>
      <c r="D33" s="9" t="inlineStr">
        <is>
          <t>Clinical Analytics</t>
        </is>
      </c>
      <c r="E33" s="9" t="inlineStr">
        <is>
          <t>VP Clinical Analytics</t>
        </is>
      </c>
      <c r="F33" s="9" t="inlineStr">
        <is>
          <t>Elena Marsh</t>
        </is>
      </c>
      <c r="G33" s="9" t="inlineStr">
        <is>
          <t>Active</t>
        </is>
      </c>
      <c r="H33" s="9" t="inlineStr">
        <is>
          <t>Okta</t>
        </is>
      </c>
      <c r="I33" s="9" t="inlineStr">
        <is>
          <t>SSO account (standard user)</t>
        </is>
      </c>
      <c r="J33" s="9" t="inlineStr">
        <is>
          <t>N</t>
        </is>
      </c>
      <c r="K33" s="9" t="inlineStr">
        <is>
          <t>N</t>
        </is>
      </c>
      <c r="L33" s="10" t="n">
        <v>43773</v>
      </c>
      <c r="M33" s="10" t="n">
        <v>46197</v>
      </c>
      <c r="N33" s="11" t="inlineStr">
        <is>
          <t>Workforce SSO</t>
        </is>
      </c>
      <c r="O33" s="9" t="inlineStr">
        <is>
          <t>Elena Marsh</t>
        </is>
      </c>
      <c r="P33" s="10" t="n">
        <v>46213</v>
      </c>
      <c r="Q33" s="9" t="inlineStr"/>
      <c r="R33" s="9" t="inlineStr">
        <is>
          <t>Retain</t>
        </is>
      </c>
      <c r="S33" s="9" t="inlineStr"/>
      <c r="T33" s="11" t="inlineStr">
        <is>
          <t>None</t>
        </is>
      </c>
      <c r="U33" s="11" t="inlineStr"/>
      <c r="V33" s="9" t="inlineStr"/>
      <c r="W33" s="10" t="n"/>
      <c r="X33" s="9" t="inlineStr">
        <is>
          <t>Completed</t>
        </is>
      </c>
      <c r="Y33" s="10" t="n">
        <v>46213</v>
      </c>
      <c r="Z33" s="9" t="inlineStr"/>
      <c r="AA33" s="9" t="inlineStr"/>
      <c r="AB33" s="9" t="inlineStr"/>
      <c r="AC33" s="11" t="inlineStr"/>
      <c r="AD33">
        <f>IF(S33="",0,IF(COUNTIF(S$2:S33,S33&amp;"")=1,1,0))</f>
        <v/>
      </c>
    </row>
    <row r="34">
      <c r="A34" s="9" t="inlineStr">
        <is>
          <t>ENT-033</t>
        </is>
      </c>
      <c r="B34" s="9" t="inlineStr">
        <is>
          <t>gholloway</t>
        </is>
      </c>
      <c r="C34" s="9" t="inlineStr">
        <is>
          <t>Employee</t>
        </is>
      </c>
      <c r="D34" s="9" t="inlineStr">
        <is>
          <t>Clinical Analytics</t>
        </is>
      </c>
      <c r="E34" s="9" t="inlineStr">
        <is>
          <t>Clinical Analytics Manager</t>
        </is>
      </c>
      <c r="F34" s="9" t="inlineStr">
        <is>
          <t>Miriam Castell</t>
        </is>
      </c>
      <c r="G34" s="9" t="inlineStr">
        <is>
          <t>Active</t>
        </is>
      </c>
      <c r="H34" s="9" t="inlineStr">
        <is>
          <t>Okta</t>
        </is>
      </c>
      <c r="I34" s="9" t="inlineStr">
        <is>
          <t>SSO account (standard user)</t>
        </is>
      </c>
      <c r="J34" s="9" t="inlineStr">
        <is>
          <t>N</t>
        </is>
      </c>
      <c r="K34" s="9" t="inlineStr">
        <is>
          <t>N</t>
        </is>
      </c>
      <c r="L34" s="10" t="n">
        <v>44452</v>
      </c>
      <c r="M34" s="10" t="n">
        <v>46203</v>
      </c>
      <c r="N34" s="11" t="inlineStr">
        <is>
          <t>Workforce SSO</t>
        </is>
      </c>
      <c r="O34" s="9" t="inlineStr">
        <is>
          <t>Miriam Castell</t>
        </is>
      </c>
      <c r="P34" s="10" t="n">
        <v>46213</v>
      </c>
      <c r="Q34" s="9" t="inlineStr"/>
      <c r="R34" s="9" t="inlineStr">
        <is>
          <t>Retain</t>
        </is>
      </c>
      <c r="S34" s="9" t="inlineStr"/>
      <c r="T34" s="11" t="inlineStr">
        <is>
          <t>None</t>
        </is>
      </c>
      <c r="U34" s="11" t="inlineStr"/>
      <c r="V34" s="9" t="inlineStr"/>
      <c r="W34" s="10" t="n"/>
      <c r="X34" s="9" t="inlineStr">
        <is>
          <t>Completed</t>
        </is>
      </c>
      <c r="Y34" s="10" t="n">
        <v>46213</v>
      </c>
      <c r="Z34" s="9" t="inlineStr"/>
      <c r="AA34" s="9" t="inlineStr"/>
      <c r="AB34" s="9" t="inlineStr"/>
      <c r="AC34" s="11" t="inlineStr"/>
      <c r="AD34">
        <f>IF(S34="",0,IF(COUNTIF(S$2:S34,S34&amp;"")=1,1,0))</f>
        <v/>
      </c>
    </row>
    <row r="35">
      <c r="A35" s="9" t="inlineStr">
        <is>
          <t>ENT-034</t>
        </is>
      </c>
      <c r="B35" s="9" t="inlineStr">
        <is>
          <t>rdiaz</t>
        </is>
      </c>
      <c r="C35" s="9" t="inlineStr">
        <is>
          <t>Employee</t>
        </is>
      </c>
      <c r="D35" s="9" t="inlineStr">
        <is>
          <t>Clinical Analytics</t>
        </is>
      </c>
      <c r="E35" s="9" t="inlineStr">
        <is>
          <t>Care Quality Analyst</t>
        </is>
      </c>
      <c r="F35" s="9" t="inlineStr">
        <is>
          <t>Greg Holloway</t>
        </is>
      </c>
      <c r="G35" s="9" t="inlineStr">
        <is>
          <t>Active</t>
        </is>
      </c>
      <c r="H35" s="9" t="inlineStr">
        <is>
          <t>Okta</t>
        </is>
      </c>
      <c r="I35" s="9" t="inlineStr">
        <is>
          <t>SSO account (standard user)</t>
        </is>
      </c>
      <c r="J35" s="9" t="inlineStr">
        <is>
          <t>N</t>
        </is>
      </c>
      <c r="K35" s="9" t="inlineStr">
        <is>
          <t>N</t>
        </is>
      </c>
      <c r="L35" s="10" t="n">
        <v>44963</v>
      </c>
      <c r="M35" s="10" t="n">
        <v>46203</v>
      </c>
      <c r="N35" s="11" t="inlineStr">
        <is>
          <t>Workforce SSO</t>
        </is>
      </c>
      <c r="O35" s="9" t="inlineStr">
        <is>
          <t>Greg Holloway</t>
        </is>
      </c>
      <c r="P35" s="10" t="n">
        <v>46213</v>
      </c>
      <c r="Q35" s="9" t="inlineStr"/>
      <c r="R35" s="9" t="inlineStr">
        <is>
          <t>Retain</t>
        </is>
      </c>
      <c r="S35" s="9" t="inlineStr"/>
      <c r="T35" s="11" t="inlineStr">
        <is>
          <t>None</t>
        </is>
      </c>
      <c r="U35" s="11" t="inlineStr"/>
      <c r="V35" s="9" t="inlineStr"/>
      <c r="W35" s="10" t="n"/>
      <c r="X35" s="9" t="inlineStr">
        <is>
          <t>Completed</t>
        </is>
      </c>
      <c r="Y35" s="10" t="n">
        <v>46213</v>
      </c>
      <c r="Z35" s="9" t="inlineStr"/>
      <c r="AA35" s="9" t="inlineStr"/>
      <c r="AB35" s="9" t="inlineStr"/>
      <c r="AC35" s="11" t="inlineStr"/>
      <c r="AD35">
        <f>IF(S35="",0,IF(COUNTIF(S$2:S35,S35&amp;"")=1,1,0))</f>
        <v/>
      </c>
    </row>
    <row r="36">
      <c r="A36" s="9" t="inlineStr">
        <is>
          <t>ENT-035</t>
        </is>
      </c>
      <c r="B36" s="9" t="inlineStr">
        <is>
          <t>ext-assessor</t>
        </is>
      </c>
      <c r="C36" s="9" t="inlineStr">
        <is>
          <t>External</t>
        </is>
      </c>
      <c r="D36" s="9" t="inlineStr">
        <is>
          <t>Security</t>
        </is>
      </c>
      <c r="E36" s="9" t="inlineStr">
        <is>
          <t>Independent Assessor</t>
        </is>
      </c>
      <c r="F36" s="9" t="inlineStr">
        <is>
          <t>Alicia Moreno</t>
        </is>
      </c>
      <c r="G36" s="9" t="inlineStr">
        <is>
          <t>Active</t>
        </is>
      </c>
      <c r="H36" s="9" t="inlineStr">
        <is>
          <t>Okta</t>
        </is>
      </c>
      <c r="I36" s="9" t="inlineStr">
        <is>
          <t>SSO account (standard user)</t>
        </is>
      </c>
      <c r="J36" s="9" t="inlineStr">
        <is>
          <t>N</t>
        </is>
      </c>
      <c r="K36" s="9" t="inlineStr">
        <is>
          <t>N</t>
        </is>
      </c>
      <c r="L36" s="10" t="n">
        <v>46188</v>
      </c>
      <c r="M36" s="10" t="n">
        <v>46203</v>
      </c>
      <c r="N36" s="11" t="inlineStr">
        <is>
          <t>Assessment engagement GOV-CHR-001 (ends 2026-07-31)</t>
        </is>
      </c>
      <c r="O36" s="9" t="inlineStr">
        <is>
          <t>Alicia Moreno</t>
        </is>
      </c>
      <c r="P36" s="10" t="n">
        <v>46209</v>
      </c>
      <c r="Q36" s="9" t="inlineStr"/>
      <c r="R36" s="9" t="inlineStr">
        <is>
          <t>Retain (time-bound)</t>
        </is>
      </c>
      <c r="S36" s="9" t="inlineStr"/>
      <c r="T36" s="11" t="inlineStr">
        <is>
          <t>None</t>
        </is>
      </c>
      <c r="U36" s="11" t="inlineStr"/>
      <c r="V36" s="9" t="inlineStr"/>
      <c r="W36" s="10" t="n"/>
      <c r="X36" s="9" t="inlineStr">
        <is>
          <t>Completed</t>
        </is>
      </c>
      <c r="Y36" s="10" t="n">
        <v>46234</v>
      </c>
      <c r="Z36" s="9" t="inlineStr"/>
      <c r="AA36" s="9" t="inlineStr"/>
      <c r="AB36" s="9" t="inlineStr"/>
      <c r="AC36" s="11" t="inlineStr">
        <is>
          <t>Assessor account; removal on 2026-07-31 verified</t>
        </is>
      </c>
      <c r="AD36">
        <f>IF(S36="",0,IF(COUNTIF(S$2:S36,S36&amp;"")=1,1,0))</f>
        <v/>
      </c>
    </row>
    <row r="37">
      <c r="A37" s="9" t="inlineStr">
        <is>
          <t>ENT-036</t>
        </is>
      </c>
      <c r="B37" s="9" t="inlineStr">
        <is>
          <t>svc-vulnscan</t>
        </is>
      </c>
      <c r="C37" s="9" t="inlineStr">
        <is>
          <t>Service</t>
        </is>
      </c>
      <c r="D37" s="9" t="inlineStr">
        <is>
          <t>Security (owner)</t>
        </is>
      </c>
      <c r="E37" s="9" t="inlineStr">
        <is>
          <t>Authenticated vulnerability scanning (legacy: configured as a person-type user)</t>
        </is>
      </c>
      <c r="F37" s="9" t="inlineStr">
        <is>
          <t>Owen Castillo (owner)</t>
        </is>
      </c>
      <c r="G37" s="9" t="inlineStr">
        <is>
          <t>n/a (non-human)</t>
        </is>
      </c>
      <c r="H37" s="9" t="inlineStr">
        <is>
          <t>Okta</t>
        </is>
      </c>
      <c r="I37" s="9" t="inlineStr">
        <is>
          <t>SSO account (standard user)</t>
        </is>
      </c>
      <c r="J37" s="9" t="inlineStr">
        <is>
          <t>N</t>
        </is>
      </c>
      <c r="K37" s="9" t="inlineStr">
        <is>
          <t>N</t>
        </is>
      </c>
      <c r="L37" s="10" t="n">
        <v>45068</v>
      </c>
      <c r="M37" s="10" t="n">
        <v>46203</v>
      </c>
      <c r="N37" s="11" t="inlineStr">
        <is>
          <t>Authenticated vulnerability scanning</t>
        </is>
      </c>
      <c r="O37" s="9" t="inlineStr">
        <is>
          <t>Alicia Moreno</t>
        </is>
      </c>
      <c r="P37" s="10" t="n">
        <v>46210</v>
      </c>
      <c r="Q37" s="9" t="inlineStr">
        <is>
          <t>F-MFA; F-SVC-ROTATION</t>
        </is>
      </c>
      <c r="R37" s="9" t="inlineStr">
        <is>
          <t>Modify</t>
        </is>
      </c>
      <c r="S37" s="9" t="inlineStr">
        <is>
          <t>AR-EX-11</t>
        </is>
      </c>
      <c r="T37" s="11" t="inlineStr">
        <is>
          <t>Service identity configured as a person-type user in MFA-Exempt-Legacy group; interactive sign-in possible; password not rotated since 2023</t>
        </is>
      </c>
      <c r="U37" s="11" t="inlineStr">
        <is>
          <t>Convert to an OAuth service integration; delete the user and the exemption group</t>
        </is>
      </c>
      <c r="V37" s="9" t="inlineStr">
        <is>
          <t>Owen Castillo</t>
        </is>
      </c>
      <c r="W37" s="10" t="n">
        <v>46270</v>
      </c>
      <c r="X37" s="9" t="inlineStr">
        <is>
          <t>Completed</t>
        </is>
      </c>
      <c r="Y37" s="10" t="n">
        <v>46262</v>
      </c>
      <c r="Z37" s="9" t="inlineStr">
        <is>
          <t>EVID-063</t>
        </is>
      </c>
      <c r="AA37" s="9" t="inlineStr">
        <is>
          <t>FIND-002</t>
        </is>
      </c>
      <c r="AB37" s="9" t="inlineStr">
        <is>
          <t>IA-2(2); IA-5</t>
        </is>
      </c>
      <c r="AC37" s="11" t="inlineStr"/>
      <c r="AD37">
        <f>IF(S37="",0,IF(COUNTIF(S$2:S37,S37&amp;"")=1,1,0))</f>
        <v/>
      </c>
    </row>
    <row r="38">
      <c r="A38" s="9" t="inlineStr">
        <is>
          <t>ENT-037</t>
        </is>
      </c>
      <c r="B38" s="9" t="inlineStr">
        <is>
          <t>nrahman-adm</t>
        </is>
      </c>
      <c r="C38" s="9" t="inlineStr">
        <is>
          <t>Admin (separate)</t>
        </is>
      </c>
      <c r="D38" s="9" t="inlineStr">
        <is>
          <t>Security</t>
        </is>
      </c>
      <c r="E38" s="9" t="inlineStr">
        <is>
          <t>IAM Engineer</t>
        </is>
      </c>
      <c r="F38" s="9" t="inlineStr">
        <is>
          <t>Alicia Moreno</t>
        </is>
      </c>
      <c r="G38" s="9" t="inlineStr">
        <is>
          <t>Active</t>
        </is>
      </c>
      <c r="H38" s="9" t="inlineStr">
        <is>
          <t>Okta</t>
        </is>
      </c>
      <c r="I38" s="9" t="inlineStr">
        <is>
          <t>Super Administrator</t>
        </is>
      </c>
      <c r="J38" s="9" t="inlineStr">
        <is>
          <t>Y</t>
        </is>
      </c>
      <c r="K38" s="9" t="inlineStr">
        <is>
          <t>N</t>
        </is>
      </c>
      <c r="L38" s="10" t="n">
        <v>44958</v>
      </c>
      <c r="M38" s="10" t="n">
        <v>46199</v>
      </c>
      <c r="N38" s="11" t="inlineStr">
        <is>
          <t>Primary Okta administrator (IAM Engineer) using separate admin account</t>
        </is>
      </c>
      <c r="O38" s="9" t="inlineStr">
        <is>
          <t>Alicia Moreno</t>
        </is>
      </c>
      <c r="P38" s="10" t="n">
        <v>46213</v>
      </c>
      <c r="Q38" s="9" t="inlineStr"/>
      <c r="R38" s="9" t="inlineStr">
        <is>
          <t>Retain</t>
        </is>
      </c>
      <c r="S38" s="9" t="inlineStr"/>
      <c r="T38" s="11" t="inlineStr">
        <is>
          <t>None</t>
        </is>
      </c>
      <c r="U38" s="11" t="inlineStr"/>
      <c r="V38" s="9" t="inlineStr"/>
      <c r="W38" s="10" t="n"/>
      <c r="X38" s="9" t="inlineStr">
        <is>
          <t>Completed</t>
        </is>
      </c>
      <c r="Y38" s="10" t="n">
        <v>46213</v>
      </c>
      <c r="Z38" s="9" t="inlineStr"/>
      <c r="AA38" s="9" t="inlineStr"/>
      <c r="AB38" s="9" t="inlineStr"/>
      <c r="AC38" s="11" t="inlineStr"/>
      <c r="AD38">
        <f>IF(S38="",0,IF(COUNTIF(S$2:S38,S38&amp;"")=1,1,0))</f>
        <v/>
      </c>
    </row>
    <row r="39">
      <c r="A39" s="9" t="inlineStr">
        <is>
          <t>ENT-038</t>
        </is>
      </c>
      <c r="B39" s="9" t="inlineStr">
        <is>
          <t>okta-breakglass</t>
        </is>
      </c>
      <c r="C39" s="9" t="inlineStr">
        <is>
          <t>Break-glass</t>
        </is>
      </c>
      <c r="D39" s="9" t="inlineStr">
        <is>
          <t>Security (owner)</t>
        </is>
      </c>
      <c r="E39" s="9" t="inlineStr">
        <is>
          <t>Emergency Okta administration</t>
        </is>
      </c>
      <c r="F39" s="9" t="inlineStr">
        <is>
          <t>Alicia Moreno (owner)</t>
        </is>
      </c>
      <c r="G39" s="9" t="inlineStr">
        <is>
          <t>n/a (non-human)</t>
        </is>
      </c>
      <c r="H39" s="9" t="inlineStr">
        <is>
          <t>Okta</t>
        </is>
      </c>
      <c r="I39" s="9" t="inlineStr">
        <is>
          <t>Super Administrator</t>
        </is>
      </c>
      <c r="J39" s="9" t="inlineStr">
        <is>
          <t>Y</t>
        </is>
      </c>
      <c r="K39" s="9" t="inlineStr">
        <is>
          <t>N</t>
        </is>
      </c>
      <c r="L39" s="10" t="n">
        <v>44958</v>
      </c>
      <c r="M39" s="10" t="n">
        <v>46127</v>
      </c>
      <c r="N39" s="11" t="inlineStr">
        <is>
          <t>Emergency access; FIDO2 key in safe; dual control; tested quarterly</t>
        </is>
      </c>
      <c r="O39" s="9" t="inlineStr">
        <is>
          <t>Alicia Moreno</t>
        </is>
      </c>
      <c r="P39" s="10" t="n">
        <v>46213</v>
      </c>
      <c r="Q39" s="9" t="inlineStr"/>
      <c r="R39" s="9" t="inlineStr">
        <is>
          <t>Retain</t>
        </is>
      </c>
      <c r="S39" s="9" t="inlineStr"/>
      <c r="T39" s="11" t="inlineStr">
        <is>
          <t>None</t>
        </is>
      </c>
      <c r="U39" s="11" t="inlineStr"/>
      <c r="V39" s="9" t="inlineStr"/>
      <c r="W39" s="10" t="n"/>
      <c r="X39" s="9" t="inlineStr">
        <is>
          <t>Completed</t>
        </is>
      </c>
      <c r="Y39" s="10" t="n">
        <v>46213</v>
      </c>
      <c r="Z39" s="9" t="inlineStr"/>
      <c r="AA39" s="9" t="inlineStr"/>
      <c r="AB39" s="9" t="inlineStr"/>
      <c r="AC39" s="11" t="inlineStr"/>
      <c r="AD39">
        <f>IF(S39="",0,IF(COUNTIF(S$2:S39,S39&amp;"")=1,1,0))</f>
        <v/>
      </c>
    </row>
    <row r="40">
      <c r="A40" s="9" t="inlineStr">
        <is>
          <t>ENT-039</t>
        </is>
      </c>
      <c r="B40" s="9" t="inlineStr">
        <is>
          <t>kbrandt</t>
        </is>
      </c>
      <c r="C40" s="9" t="inlineStr">
        <is>
          <t>Employee</t>
        </is>
      </c>
      <c r="D40" s="9" t="inlineStr">
        <is>
          <t>IT</t>
        </is>
      </c>
      <c r="E40" s="9" t="inlineStr">
        <is>
          <t>IT Manager</t>
        </is>
      </c>
      <c r="F40" s="9" t="inlineStr">
        <is>
          <t>Samir Haddad</t>
        </is>
      </c>
      <c r="G40" s="9" t="inlineStr">
        <is>
          <t>Active</t>
        </is>
      </c>
      <c r="H40" s="9" t="inlineStr">
        <is>
          <t>Okta</t>
        </is>
      </c>
      <c r="I40" s="9" t="inlineStr">
        <is>
          <t>Super Administrator</t>
        </is>
      </c>
      <c r="J40" s="9" t="inlineStr">
        <is>
          <t>Y</t>
        </is>
      </c>
      <c r="K40" s="9" t="inlineStr">
        <is>
          <t>N</t>
        </is>
      </c>
      <c r="L40" s="10" t="n">
        <v>43871</v>
      </c>
      <c r="M40" s="10" t="n">
        <v>46195</v>
      </c>
      <c r="N40" s="11" t="inlineStr">
        <is>
          <t>Granted during 2020 Okta rollout</t>
        </is>
      </c>
      <c r="O40" s="9" t="inlineStr">
        <is>
          <t>Alicia Moreno</t>
        </is>
      </c>
      <c r="P40" s="10" t="n">
        <v>46210</v>
      </c>
      <c r="Q40" s="9" t="inlineStr">
        <is>
          <t>F-BASELINE; F-DAILYADMIN</t>
        </is>
      </c>
      <c r="R40" s="9" t="inlineStr">
        <is>
          <t>Modify</t>
        </is>
      </c>
      <c r="S40" s="9" t="inlineStr">
        <is>
          <t>AR-EX-09</t>
        </is>
      </c>
      <c r="T40" s="11" t="inlineStr">
        <is>
          <t>Okta Super Administrator is not part of the IT Manager role and is held on a daily-use account</t>
        </is>
      </c>
      <c r="U40" s="11" t="inlineStr">
        <is>
          <t>Downgrade to Organization Administrator</t>
        </is>
      </c>
      <c r="V40" s="9" t="inlineStr">
        <is>
          <t>Alicia Moreno</t>
        </is>
      </c>
      <c r="W40" s="10" t="n">
        <v>46227</v>
      </c>
      <c r="X40" s="9" t="inlineStr">
        <is>
          <t>Completed</t>
        </is>
      </c>
      <c r="Y40" s="10" t="n">
        <v>46223</v>
      </c>
      <c r="Z40" s="9" t="inlineStr">
        <is>
          <t>EVID-077</t>
        </is>
      </c>
      <c r="AA40" s="9" t="inlineStr">
        <is>
          <t>FIND-003</t>
        </is>
      </c>
      <c r="AB40" s="9" t="inlineStr">
        <is>
          <t>AC-6(5); AC-6(2)</t>
        </is>
      </c>
      <c r="AC40" s="11" t="inlineStr"/>
      <c r="AD40">
        <f>IF(S40="",0,IF(COUNTIF(S$2:S40,S40&amp;"")=1,1,0))</f>
        <v/>
      </c>
    </row>
    <row r="41">
      <c r="A41" s="9" t="inlineStr">
        <is>
          <t>ENT-040</t>
        </is>
      </c>
      <c r="B41" s="9" t="inlineStr">
        <is>
          <t>tjohnson</t>
        </is>
      </c>
      <c r="C41" s="9" t="inlineStr">
        <is>
          <t>Employee</t>
        </is>
      </c>
      <c r="D41" s="9" t="inlineStr">
        <is>
          <t>IT</t>
        </is>
      </c>
      <c r="E41" s="9" t="inlineStr">
        <is>
          <t>IT Support Specialist</t>
        </is>
      </c>
      <c r="F41" s="9" t="inlineStr">
        <is>
          <t>Kevin Brandt</t>
        </is>
      </c>
      <c r="G41" s="9" t="inlineStr">
        <is>
          <t>Active</t>
        </is>
      </c>
      <c r="H41" s="9" t="inlineStr">
        <is>
          <t>Okta</t>
        </is>
      </c>
      <c r="I41" s="9" t="inlineStr">
        <is>
          <t>Help Desk Administrator</t>
        </is>
      </c>
      <c r="J41" s="9" t="inlineStr">
        <is>
          <t>Y</t>
        </is>
      </c>
      <c r="K41" s="9" t="inlineStr">
        <is>
          <t>N</t>
        </is>
      </c>
      <c r="L41" s="10" t="n">
        <v>45334</v>
      </c>
      <c r="M41" s="10" t="n">
        <v>46203</v>
      </c>
      <c r="N41" s="11" t="inlineStr">
        <is>
          <t>Password/MFA resets under help-desk identity-verification SOP</t>
        </is>
      </c>
      <c r="O41" s="9" t="inlineStr">
        <is>
          <t>Alicia Moreno</t>
        </is>
      </c>
      <c r="P41" s="10" t="n">
        <v>46213</v>
      </c>
      <c r="Q41" s="9" t="inlineStr"/>
      <c r="R41" s="9" t="inlineStr">
        <is>
          <t>Retain</t>
        </is>
      </c>
      <c r="S41" s="9" t="inlineStr"/>
      <c r="T41" s="11" t="inlineStr">
        <is>
          <t>None</t>
        </is>
      </c>
      <c r="U41" s="11" t="inlineStr"/>
      <c r="V41" s="9" t="inlineStr"/>
      <c r="W41" s="10" t="n"/>
      <c r="X41" s="9" t="inlineStr">
        <is>
          <t>Completed</t>
        </is>
      </c>
      <c r="Y41" s="10" t="n">
        <v>46213</v>
      </c>
      <c r="Z41" s="9" t="inlineStr"/>
      <c r="AA41" s="9" t="inlineStr"/>
      <c r="AB41" s="9" t="inlineStr"/>
      <c r="AC41" s="11" t="inlineStr"/>
      <c r="AD41">
        <f>IF(S41="",0,IF(COUNTIF(S$2:S41,S41&amp;"")=1,1,0))</f>
        <v/>
      </c>
    </row>
    <row r="42">
      <c r="A42" s="9" t="inlineStr">
        <is>
          <t>ENT-041</t>
        </is>
      </c>
      <c r="B42" s="9" t="inlineStr">
        <is>
          <t>praman</t>
        </is>
      </c>
      <c r="C42" s="9" t="inlineStr">
        <is>
          <t>Employee</t>
        </is>
      </c>
      <c r="D42" s="9" t="inlineStr">
        <is>
          <t>Security</t>
        </is>
      </c>
      <c r="E42" s="9" t="inlineStr">
        <is>
          <t>Security Compliance Manager</t>
        </is>
      </c>
      <c r="F42" s="9" t="inlineStr">
        <is>
          <t>Alicia Moreno</t>
        </is>
      </c>
      <c r="G42" s="9" t="inlineStr">
        <is>
          <t>Active</t>
        </is>
      </c>
      <c r="H42" s="9" t="inlineStr">
        <is>
          <t>Okta</t>
        </is>
      </c>
      <c r="I42" s="9" t="inlineStr">
        <is>
          <t>Read-Only Administrator</t>
        </is>
      </c>
      <c r="J42" s="9" t="inlineStr">
        <is>
          <t>Y</t>
        </is>
      </c>
      <c r="K42" s="9" t="inlineStr">
        <is>
          <t>N</t>
        </is>
      </c>
      <c r="L42" s="10" t="n">
        <v>44991</v>
      </c>
      <c r="M42" s="10" t="n">
        <v>46202</v>
      </c>
      <c r="N42" s="11" t="inlineStr">
        <is>
          <t>GRC evidence collection</t>
        </is>
      </c>
      <c r="O42" s="9" t="inlineStr">
        <is>
          <t>Alicia Moreno</t>
        </is>
      </c>
      <c r="P42" s="10" t="n">
        <v>46213</v>
      </c>
      <c r="Q42" s="9" t="inlineStr"/>
      <c r="R42" s="9" t="inlineStr">
        <is>
          <t>Retain</t>
        </is>
      </c>
      <c r="S42" s="9" t="inlineStr"/>
      <c r="T42" s="11" t="inlineStr">
        <is>
          <t>None</t>
        </is>
      </c>
      <c r="U42" s="11" t="inlineStr"/>
      <c r="V42" s="9" t="inlineStr"/>
      <c r="W42" s="10" t="n"/>
      <c r="X42" s="9" t="inlineStr">
        <is>
          <t>Completed</t>
        </is>
      </c>
      <c r="Y42" s="10" t="n">
        <v>46213</v>
      </c>
      <c r="Z42" s="9" t="inlineStr"/>
      <c r="AA42" s="9" t="inlineStr"/>
      <c r="AB42" s="9" t="inlineStr"/>
      <c r="AC42" s="11" t="inlineStr"/>
      <c r="AD42">
        <f>IF(S42="",0,IF(COUNTIF(S$2:S42,S42&amp;"")=1,1,0))</f>
        <v/>
      </c>
    </row>
    <row r="43">
      <c r="A43" s="9" t="inlineStr">
        <is>
          <t>ENT-042</t>
        </is>
      </c>
      <c r="B43" s="9" t="inlineStr">
        <is>
          <t>ext-assessor</t>
        </is>
      </c>
      <c r="C43" s="9" t="inlineStr">
        <is>
          <t>External</t>
        </is>
      </c>
      <c r="D43" s="9" t="inlineStr">
        <is>
          <t>Security</t>
        </is>
      </c>
      <c r="E43" s="9" t="inlineStr">
        <is>
          <t>Independent Assessor</t>
        </is>
      </c>
      <c r="F43" s="9" t="inlineStr">
        <is>
          <t>Alicia Moreno</t>
        </is>
      </c>
      <c r="G43" s="9" t="inlineStr">
        <is>
          <t>Active</t>
        </is>
      </c>
      <c r="H43" s="9" t="inlineStr">
        <is>
          <t>Okta</t>
        </is>
      </c>
      <c r="I43" s="9" t="inlineStr">
        <is>
          <t>Read-Only Administrator</t>
        </is>
      </c>
      <c r="J43" s="9" t="inlineStr">
        <is>
          <t>Y</t>
        </is>
      </c>
      <c r="K43" s="9" t="inlineStr">
        <is>
          <t>N</t>
        </is>
      </c>
      <c r="L43" s="10" t="n">
        <v>46188</v>
      </c>
      <c r="M43" s="10" t="n">
        <v>46203</v>
      </c>
      <c r="N43" s="11" t="inlineStr">
        <is>
          <t>Assessment engagement (ends 2026-07-31)</t>
        </is>
      </c>
      <c r="O43" s="9" t="inlineStr">
        <is>
          <t>Alicia Moreno</t>
        </is>
      </c>
      <c r="P43" s="10" t="n">
        <v>46209</v>
      </c>
      <c r="Q43" s="9" t="inlineStr"/>
      <c r="R43" s="9" t="inlineStr">
        <is>
          <t>Retain (time-bound)</t>
        </is>
      </c>
      <c r="S43" s="9" t="inlineStr"/>
      <c r="T43" s="11" t="inlineStr">
        <is>
          <t>None</t>
        </is>
      </c>
      <c r="U43" s="11" t="inlineStr"/>
      <c r="V43" s="9" t="inlineStr"/>
      <c r="W43" s="10" t="n"/>
      <c r="X43" s="9" t="inlineStr">
        <is>
          <t>Completed</t>
        </is>
      </c>
      <c r="Y43" s="10" t="n">
        <v>46234</v>
      </c>
      <c r="Z43" s="9" t="inlineStr"/>
      <c r="AA43" s="9" t="inlineStr"/>
      <c r="AB43" s="9" t="inlineStr"/>
      <c r="AC43" s="11" t="inlineStr">
        <is>
          <t>Assessor account; removal on 2026-07-31 verified</t>
        </is>
      </c>
      <c r="AD43">
        <f>IF(S43="",0,IF(COUNTIF(S$2:S43,S43&amp;"")=1,1,0))</f>
        <v/>
      </c>
    </row>
    <row r="44">
      <c r="A44" s="9" t="inlineStr">
        <is>
          <t>ENT-043</t>
        </is>
      </c>
      <c r="B44" s="9" t="inlineStr">
        <is>
          <t>jkim-adm</t>
        </is>
      </c>
      <c r="C44" s="9" t="inlineStr">
        <is>
          <t>Admin (separate)</t>
        </is>
      </c>
      <c r="D44" s="9" t="inlineStr">
        <is>
          <t>Platform Engineering</t>
        </is>
      </c>
      <c r="E44" s="9" t="inlineStr">
        <is>
          <t>Senior SRE</t>
        </is>
      </c>
      <c r="F44" s="9" t="inlineStr">
        <is>
          <t>Tomasz Wierzbicki</t>
        </is>
      </c>
      <c r="G44" s="9" t="inlineStr">
        <is>
          <t>Active</t>
        </is>
      </c>
      <c r="H44" s="9" t="inlineStr">
        <is>
          <t>AWS wcp-prod</t>
        </is>
      </c>
      <c r="I44" s="9" t="inlineStr">
        <is>
          <t>AdministratorAccess</t>
        </is>
      </c>
      <c r="J44" s="9" t="inlineStr">
        <is>
          <t>Y</t>
        </is>
      </c>
      <c r="K44" s="9" t="inlineStr">
        <is>
          <t>Y</t>
        </is>
      </c>
      <c r="L44" s="10" t="n">
        <v>45880</v>
      </c>
      <c r="M44" s="10" t="n">
        <v>46200</v>
      </c>
      <c r="N44" s="11" t="inlineStr">
        <is>
          <t>SRE on-call administration (separate admin account)</t>
        </is>
      </c>
      <c r="O44" s="9" t="inlineStr">
        <is>
          <t>Tomasz Wierzbicki</t>
        </is>
      </c>
      <c r="P44" s="10" t="n">
        <v>46213</v>
      </c>
      <c r="Q44" s="9" t="inlineStr"/>
      <c r="R44" s="9" t="inlineStr">
        <is>
          <t>Retain</t>
        </is>
      </c>
      <c r="S44" s="9" t="inlineStr"/>
      <c r="T44" s="11" t="inlineStr">
        <is>
          <t>None</t>
        </is>
      </c>
      <c r="U44" s="11" t="inlineStr"/>
      <c r="V44" s="9" t="inlineStr"/>
      <c r="W44" s="10" t="n"/>
      <c r="X44" s="9" t="inlineStr">
        <is>
          <t>Completed</t>
        </is>
      </c>
      <c r="Y44" s="10" t="n">
        <v>46213</v>
      </c>
      <c r="Z44" s="9" t="inlineStr"/>
      <c r="AA44" s="9" t="inlineStr"/>
      <c r="AB44" s="9" t="inlineStr"/>
      <c r="AC44" s="11" t="inlineStr">
        <is>
          <t>Model pattern: separate admin account with phishing-resistant MFA</t>
        </is>
      </c>
      <c r="AD44">
        <f>IF(S44="",0,IF(COUNTIF(S$2:S44,S44&amp;"")=1,1,0))</f>
        <v/>
      </c>
    </row>
    <row r="45">
      <c r="A45" s="9" t="inlineStr">
        <is>
          <t>ENT-044</t>
        </is>
      </c>
      <c r="B45" s="9" t="inlineStr">
        <is>
          <t>lbaptiste</t>
        </is>
      </c>
      <c r="C45" s="9" t="inlineStr">
        <is>
          <t>Employee</t>
        </is>
      </c>
      <c r="D45" s="9" t="inlineStr">
        <is>
          <t>Platform Engineering</t>
        </is>
      </c>
      <c r="E45" s="9" t="inlineStr">
        <is>
          <t>SRE</t>
        </is>
      </c>
      <c r="F45" s="9" t="inlineStr">
        <is>
          <t>Tomasz Wierzbicki</t>
        </is>
      </c>
      <c r="G45" s="9" t="inlineStr">
        <is>
          <t>Active</t>
        </is>
      </c>
      <c r="H45" s="9" t="inlineStr">
        <is>
          <t>AWS wcp-prod</t>
        </is>
      </c>
      <c r="I45" s="9" t="inlineStr">
        <is>
          <t>AdministratorAccess</t>
        </is>
      </c>
      <c r="J45" s="9" t="inlineStr">
        <is>
          <t>Y</t>
        </is>
      </c>
      <c r="K45" s="9" t="inlineStr">
        <is>
          <t>Y</t>
        </is>
      </c>
      <c r="L45" s="10" t="n">
        <v>45019</v>
      </c>
      <c r="M45" s="10" t="n">
        <v>46203</v>
      </c>
      <c r="N45" s="11" t="inlineStr">
        <is>
          <t>SRE on-call administration</t>
        </is>
      </c>
      <c r="O45" s="9" t="inlineStr">
        <is>
          <t>Tomasz Wierzbicki</t>
        </is>
      </c>
      <c r="P45" s="10" t="n">
        <v>46213</v>
      </c>
      <c r="Q45" s="9" t="inlineStr">
        <is>
          <t>F-DAILYADMIN</t>
        </is>
      </c>
      <c r="R45" s="9" t="inlineStr">
        <is>
          <t>Modify</t>
        </is>
      </c>
      <c r="S45" s="9" t="inlineStr">
        <is>
          <t>AR-EX-10</t>
        </is>
      </c>
      <c r="T45" s="11" t="inlineStr">
        <is>
          <t>Production AdministratorAccess used from a daily-use account (ACP-002 §5.4 requires a separate admin account)</t>
        </is>
      </c>
      <c r="U45" s="11" t="inlineStr">
        <is>
          <t>Issue a -adm account with phishing-resistant MFA; remove admin from the daily account</t>
        </is>
      </c>
      <c r="V45" s="9" t="inlineStr">
        <is>
          <t>Nadia Rahman</t>
        </is>
      </c>
      <c r="W45" s="10" t="n">
        <v>46295</v>
      </c>
      <c r="X45" s="9" t="inlineStr">
        <is>
          <t>Completed</t>
        </is>
      </c>
      <c r="Y45" s="10" t="n">
        <v>46267</v>
      </c>
      <c r="Z45" s="9" t="inlineStr">
        <is>
          <t>EVID-075</t>
        </is>
      </c>
      <c r="AA45" s="9" t="inlineStr">
        <is>
          <t>FIND-003</t>
        </is>
      </c>
      <c r="AB45" s="9" t="inlineStr">
        <is>
          <t>AC-6(2)</t>
        </is>
      </c>
      <c r="AC45" s="11" t="inlineStr"/>
      <c r="AD45">
        <f>IF(S45="",0,IF(COUNTIF(S$2:S45,S45&amp;"")=1,1,0))</f>
        <v/>
      </c>
    </row>
    <row r="46">
      <c r="A46" s="9" t="inlineStr">
        <is>
          <t>ENT-045</t>
        </is>
      </c>
      <c r="B46" s="9" t="inlineStr">
        <is>
          <t>twierzbicki</t>
        </is>
      </c>
      <c r="C46" s="9" t="inlineStr">
        <is>
          <t>Employee</t>
        </is>
      </c>
      <c r="D46" s="9" t="inlineStr">
        <is>
          <t>Platform Engineering</t>
        </is>
      </c>
      <c r="E46" s="9" t="inlineStr">
        <is>
          <t>Director Platform Engineering</t>
        </is>
      </c>
      <c r="F46" s="9" t="inlineStr">
        <is>
          <t>Samir Haddad</t>
        </is>
      </c>
      <c r="G46" s="9" t="inlineStr">
        <is>
          <t>Active</t>
        </is>
      </c>
      <c r="H46" s="9" t="inlineStr">
        <is>
          <t>AWS wcp-prod</t>
        </is>
      </c>
      <c r="I46" s="9" t="inlineStr">
        <is>
          <t>AdministratorAccess</t>
        </is>
      </c>
      <c r="J46" s="9" t="inlineStr">
        <is>
          <t>Y</t>
        </is>
      </c>
      <c r="K46" s="9" t="inlineStr">
        <is>
          <t>Y</t>
        </is>
      </c>
      <c r="L46" s="10" t="n">
        <v>43845</v>
      </c>
      <c r="M46" s="10" t="n">
        <v>46198</v>
      </c>
      <c r="N46" s="11" t="inlineStr">
        <is>
          <t>Platform escalation</t>
        </is>
      </c>
      <c r="O46" s="9" t="inlineStr">
        <is>
          <t>Samir Haddad</t>
        </is>
      </c>
      <c r="P46" s="10" t="n">
        <v>46213</v>
      </c>
      <c r="Q46" s="9" t="inlineStr">
        <is>
          <t>F-DAILYADMIN</t>
        </is>
      </c>
      <c r="R46" s="9" t="inlineStr">
        <is>
          <t>Modify</t>
        </is>
      </c>
      <c r="S46" s="9" t="inlineStr">
        <is>
          <t>AR-EX-10</t>
        </is>
      </c>
      <c r="T46" s="11" t="inlineStr">
        <is>
          <t>Production AdministratorAccess used from a daily-use account (ACP-002 §5.4 requires a separate admin account)</t>
        </is>
      </c>
      <c r="U46" s="11" t="inlineStr">
        <is>
          <t>Issue a -adm account with phishing-resistant MFA; remove admin from the daily account</t>
        </is>
      </c>
      <c r="V46" s="9" t="inlineStr">
        <is>
          <t>Nadia Rahman</t>
        </is>
      </c>
      <c r="W46" s="10" t="n">
        <v>46295</v>
      </c>
      <c r="X46" s="9" t="inlineStr">
        <is>
          <t>In Progress</t>
        </is>
      </c>
      <c r="Y46" s="10" t="n"/>
      <c r="Z46" s="9" t="inlineStr"/>
      <c r="AA46" s="9" t="inlineStr">
        <is>
          <t>FIND-003</t>
        </is>
      </c>
      <c r="AB46" s="9" t="inlineStr">
        <is>
          <t>AC-6(2)</t>
        </is>
      </c>
      <c r="AC46" s="11" t="inlineStr">
        <is>
          <t>-adm account issued 2026-09-15; daily-account removal scheduled after on-call rotation ends</t>
        </is>
      </c>
      <c r="AD46">
        <f>IF(S46="",0,IF(COUNTIF(S$2:S46,S46&amp;"")=1,1,0))</f>
        <v/>
      </c>
    </row>
    <row r="47">
      <c r="A47" s="9" t="inlineStr">
        <is>
          <t>ENT-046</t>
        </is>
      </c>
      <c r="B47" s="9" t="inlineStr">
        <is>
          <t>dokonkwo</t>
        </is>
      </c>
      <c r="C47" s="9" t="inlineStr">
        <is>
          <t>Employee</t>
        </is>
      </c>
      <c r="D47" s="9" t="inlineStr">
        <is>
          <t>Engineering</t>
        </is>
      </c>
      <c r="E47" s="9" t="inlineStr">
        <is>
          <t>Senior Software Engineer</t>
        </is>
      </c>
      <c r="F47" s="9" t="inlineStr">
        <is>
          <t>Sofia Ricci</t>
        </is>
      </c>
      <c r="G47" s="9" t="inlineStr">
        <is>
          <t>Active</t>
        </is>
      </c>
      <c r="H47" s="9" t="inlineStr">
        <is>
          <t>AWS wcp-prod</t>
        </is>
      </c>
      <c r="I47" s="9" t="inlineStr">
        <is>
          <t>AdministratorAccess</t>
        </is>
      </c>
      <c r="J47" s="9" t="inlineStr">
        <is>
          <t>Y</t>
        </is>
      </c>
      <c r="K47" s="9" t="inlineStr">
        <is>
          <t>Y</t>
        </is>
      </c>
      <c r="L47" s="10" t="n">
        <v>45600</v>
      </c>
      <c r="M47" s="10" t="n">
        <v>46192</v>
      </c>
      <c r="N47" s="11" t="inlineStr">
        <is>
          <t>Temporary grant for EKS migration (CHG-2024-0981)</t>
        </is>
      </c>
      <c r="O47" s="9" t="inlineStr">
        <is>
          <t>Tomasz Wierzbicki</t>
        </is>
      </c>
      <c r="P47" s="10" t="n">
        <v>46213</v>
      </c>
      <c r="Q47" s="9" t="inlineStr">
        <is>
          <t>F-BASELINE; F-DAILYADMIN</t>
        </is>
      </c>
      <c r="R47" s="9" t="inlineStr">
        <is>
          <t>Modify</t>
        </is>
      </c>
      <c r="S47" s="9" t="inlineStr">
        <is>
          <t>AR-EX-05</t>
        </is>
      </c>
      <c r="T47" s="11" t="inlineStr">
        <is>
          <t>AdministratorAccess in production not required for Software Engineer role; 2024 migration grant never removed</t>
        </is>
      </c>
      <c r="U47" s="11" t="inlineStr">
        <is>
          <t>Replace with Developer-ReadOnly-Prod; use approval-gated elevation for incidents</t>
        </is>
      </c>
      <c r="V47" s="9" t="inlineStr">
        <is>
          <t>Tomasz Wierzbicki</t>
        </is>
      </c>
      <c r="W47" s="10" t="n">
        <v>46255</v>
      </c>
      <c r="X47" s="9" t="inlineStr">
        <is>
          <t>Completed</t>
        </is>
      </c>
      <c r="Y47" s="10" t="n">
        <v>46254</v>
      </c>
      <c r="Z47" s="9" t="inlineStr">
        <is>
          <t>EVID-075</t>
        </is>
      </c>
      <c r="AA47" s="9" t="inlineStr">
        <is>
          <t>FIND-003</t>
        </is>
      </c>
      <c r="AB47" s="9" t="inlineStr">
        <is>
          <t>AC-6(5); AC-6</t>
        </is>
      </c>
      <c r="AC47" s="11" t="inlineStr">
        <is>
          <t>Owner agreed; no ongoing need</t>
        </is>
      </c>
      <c r="AD47">
        <f>IF(S47="",0,IF(COUNTIF(S$2:S47,S47&amp;"")=1,1,0))</f>
        <v/>
      </c>
    </row>
    <row r="48">
      <c r="A48" s="9" t="inlineStr">
        <is>
          <t>ENT-047</t>
        </is>
      </c>
      <c r="B48" s="9" t="inlineStr">
        <is>
          <t>bnguyen</t>
        </is>
      </c>
      <c r="C48" s="9" t="inlineStr">
        <is>
          <t>Employee</t>
        </is>
      </c>
      <c r="D48" s="9" t="inlineStr">
        <is>
          <t>Data Engineering</t>
        </is>
      </c>
      <c r="E48" s="9" t="inlineStr">
        <is>
          <t>Data Engineer</t>
        </is>
      </c>
      <c r="F48" s="9" t="inlineStr">
        <is>
          <t>Liam Porter</t>
        </is>
      </c>
      <c r="G48" s="9" t="inlineStr">
        <is>
          <t>Active</t>
        </is>
      </c>
      <c r="H48" s="9" t="inlineStr">
        <is>
          <t>AWS wcp-prod</t>
        </is>
      </c>
      <c r="I48" s="9" t="inlineStr">
        <is>
          <t>AdministratorAccess</t>
        </is>
      </c>
      <c r="J48" s="9" t="inlineStr">
        <is>
          <t>Y</t>
        </is>
      </c>
      <c r="K48" s="9" t="inlineStr">
        <is>
          <t>Y</t>
        </is>
      </c>
      <c r="L48" s="10" t="n">
        <v>45824</v>
      </c>
      <c r="M48" s="10" t="n">
        <v>46184</v>
      </c>
      <c r="N48" s="11" t="inlineStr">
        <is>
          <t>Data pipeline troubleshooting</t>
        </is>
      </c>
      <c r="O48" s="9" t="inlineStr">
        <is>
          <t>Tomasz Wierzbicki</t>
        </is>
      </c>
      <c r="P48" s="10" t="n">
        <v>46213</v>
      </c>
      <c r="Q48" s="9" t="inlineStr">
        <is>
          <t>F-BASELINE; F-DAILYADMIN</t>
        </is>
      </c>
      <c r="R48" s="9" t="inlineStr">
        <is>
          <t>Modify</t>
        </is>
      </c>
      <c r="S48" s="9" t="inlineStr">
        <is>
          <t>AR-EX-06</t>
        </is>
      </c>
      <c r="T48" s="11" t="inlineStr">
        <is>
          <t>AdministratorAccess in production not required for Data Engineer role</t>
        </is>
      </c>
      <c r="U48" s="11" t="inlineStr">
        <is>
          <t>Replace with Developer-ReadOnly-Prod; use approval-gated elevation for incidents</t>
        </is>
      </c>
      <c r="V48" s="9" t="inlineStr">
        <is>
          <t>Tomasz Wierzbicki</t>
        </is>
      </c>
      <c r="W48" s="10" t="n">
        <v>46255</v>
      </c>
      <c r="X48" s="9" t="inlineStr">
        <is>
          <t>Completed</t>
        </is>
      </c>
      <c r="Y48" s="10" t="n">
        <v>46254</v>
      </c>
      <c r="Z48" s="9" t="inlineStr">
        <is>
          <t>EVID-075</t>
        </is>
      </c>
      <c r="AA48" s="9" t="inlineStr">
        <is>
          <t>FIND-003</t>
        </is>
      </c>
      <c r="AB48" s="9" t="inlineStr">
        <is>
          <t>AC-6(5); AC-6</t>
        </is>
      </c>
      <c r="AC48" s="11" t="inlineStr">
        <is>
          <t>Owner initially disputed (pipeline troubleshooting); resolved with time-boxed elevation</t>
        </is>
      </c>
      <c r="AD48">
        <f>IF(S48="",0,IF(COUNTIF(S$2:S48,S48&amp;"")=1,1,0))</f>
        <v/>
      </c>
    </row>
    <row r="49">
      <c r="A49" s="9" t="inlineStr">
        <is>
          <t>ENT-048</t>
        </is>
      </c>
      <c r="B49" s="9" t="inlineStr">
        <is>
          <t>ocastillo</t>
        </is>
      </c>
      <c r="C49" s="9" t="inlineStr">
        <is>
          <t>Employee</t>
        </is>
      </c>
      <c r="D49" s="9" t="inlineStr">
        <is>
          <t>Security</t>
        </is>
      </c>
      <c r="E49" s="9" t="inlineStr">
        <is>
          <t>Security Engineer</t>
        </is>
      </c>
      <c r="F49" s="9" t="inlineStr">
        <is>
          <t>Alicia Moreno</t>
        </is>
      </c>
      <c r="G49" s="9" t="inlineStr">
        <is>
          <t>Active</t>
        </is>
      </c>
      <c r="H49" s="9" t="inlineStr">
        <is>
          <t>AWS wcp-prod</t>
        </is>
      </c>
      <c r="I49" s="9" t="inlineStr">
        <is>
          <t>SecurityAudit</t>
        </is>
      </c>
      <c r="J49" s="9" t="inlineStr">
        <is>
          <t>N</t>
        </is>
      </c>
      <c r="K49" s="9" t="inlineStr">
        <is>
          <t>N</t>
        </is>
      </c>
      <c r="L49" s="10" t="n">
        <v>44816</v>
      </c>
      <c r="M49" s="10" t="n">
        <v>46203</v>
      </c>
      <c r="N49" s="11" t="inlineStr">
        <is>
          <t>Security monitoring</t>
        </is>
      </c>
      <c r="O49" s="9" t="inlineStr">
        <is>
          <t>Tomasz Wierzbicki</t>
        </is>
      </c>
      <c r="P49" s="10" t="n">
        <v>46213</v>
      </c>
      <c r="Q49" s="9" t="inlineStr"/>
      <c r="R49" s="9" t="inlineStr">
        <is>
          <t>Retain</t>
        </is>
      </c>
      <c r="S49" s="9" t="inlineStr"/>
      <c r="T49" s="11" t="inlineStr">
        <is>
          <t>None</t>
        </is>
      </c>
      <c r="U49" s="11" t="inlineStr"/>
      <c r="V49" s="9" t="inlineStr"/>
      <c r="W49" s="10" t="n"/>
      <c r="X49" s="9" t="inlineStr">
        <is>
          <t>Completed</t>
        </is>
      </c>
      <c r="Y49" s="10" t="n">
        <v>46213</v>
      </c>
      <c r="Z49" s="9" t="inlineStr"/>
      <c r="AA49" s="9" t="inlineStr"/>
      <c r="AB49" s="9" t="inlineStr"/>
      <c r="AC49" s="11" t="inlineStr"/>
      <c r="AD49">
        <f>IF(S49="",0,IF(COUNTIF(S$2:S49,S49&amp;"")=1,1,0))</f>
        <v/>
      </c>
    </row>
    <row r="50">
      <c r="A50" s="9" t="inlineStr">
        <is>
          <t>ENT-049</t>
        </is>
      </c>
      <c r="B50" s="9" t="inlineStr">
        <is>
          <t>ocastillo</t>
        </is>
      </c>
      <c r="C50" s="9" t="inlineStr">
        <is>
          <t>Employee</t>
        </is>
      </c>
      <c r="D50" s="9" t="inlineStr">
        <is>
          <t>Security</t>
        </is>
      </c>
      <c r="E50" s="9" t="inlineStr">
        <is>
          <t>Security Engineer</t>
        </is>
      </c>
      <c r="F50" s="9" t="inlineStr">
        <is>
          <t>Alicia Moreno</t>
        </is>
      </c>
      <c r="G50" s="9" t="inlineStr">
        <is>
          <t>Active</t>
        </is>
      </c>
      <c r="H50" s="9" t="inlineStr">
        <is>
          <t>AWS wcp-prod</t>
        </is>
      </c>
      <c r="I50" s="9" t="inlineStr">
        <is>
          <t>IR-Responder</t>
        </is>
      </c>
      <c r="J50" s="9" t="inlineStr">
        <is>
          <t>Y</t>
        </is>
      </c>
      <c r="K50" s="9" t="inlineStr">
        <is>
          <t>Y</t>
        </is>
      </c>
      <c r="L50" s="10" t="n">
        <v>45901</v>
      </c>
      <c r="M50" s="10" t="n">
        <v>46085</v>
      </c>
      <c r="N50" s="11" t="inlineStr">
        <is>
          <t>Incident response; elevation requires CISO approval; session recorded</t>
        </is>
      </c>
      <c r="O50" s="9" t="inlineStr">
        <is>
          <t>Tomasz Wierzbicki</t>
        </is>
      </c>
      <c r="P50" s="10" t="n">
        <v>46210</v>
      </c>
      <c r="Q50" s="9" t="inlineStr">
        <is>
          <t>F-INACTIVE</t>
        </is>
      </c>
      <c r="R50" s="9" t="inlineStr">
        <is>
          <t>Retain</t>
        </is>
      </c>
      <c r="S50" s="9" t="inlineStr"/>
      <c r="T50" s="11" t="inlineStr">
        <is>
          <t>None (flag dispositioned: see comment)</t>
        </is>
      </c>
      <c r="U50" s="11" t="inlineStr"/>
      <c r="V50" s="9" t="inlineStr"/>
      <c r="W50" s="10" t="n"/>
      <c r="X50" s="9" t="inlineStr">
        <is>
          <t>Completed</t>
        </is>
      </c>
      <c r="Y50" s="10" t="n">
        <v>46210</v>
      </c>
      <c r="Z50" s="9" t="inlineStr"/>
      <c r="AA50" s="9" t="inlineStr"/>
      <c r="AB50" s="9" t="inlineStr"/>
      <c r="AC50" s="11" t="inlineStr">
        <is>
          <t>Engine flag (inactive &gt;90 days) dispositioned as expected: approval-gated incident role, last elevation tied to INC-2026-0041</t>
        </is>
      </c>
      <c r="AD50">
        <f>IF(S50="",0,IF(COUNTIF(S$2:S50,S50&amp;"")=1,1,0))</f>
        <v/>
      </c>
    </row>
    <row r="51">
      <c r="A51" s="9" t="inlineStr">
        <is>
          <t>ENT-050</t>
        </is>
      </c>
      <c r="B51" s="9" t="inlineStr">
        <is>
          <t>amoreno</t>
        </is>
      </c>
      <c r="C51" s="9" t="inlineStr">
        <is>
          <t>Employee</t>
        </is>
      </c>
      <c r="D51" s="9" t="inlineStr">
        <is>
          <t>Security</t>
        </is>
      </c>
      <c r="E51" s="9" t="inlineStr">
        <is>
          <t>Chief Information Security Officer</t>
        </is>
      </c>
      <c r="F51" s="9" t="inlineStr">
        <is>
          <t>Samir Haddad</t>
        </is>
      </c>
      <c r="G51" s="9" t="inlineStr">
        <is>
          <t>Active</t>
        </is>
      </c>
      <c r="H51" s="9" t="inlineStr">
        <is>
          <t>AWS wcp-prod</t>
        </is>
      </c>
      <c r="I51" s="9" t="inlineStr">
        <is>
          <t>SecurityAudit</t>
        </is>
      </c>
      <c r="J51" s="9" t="inlineStr">
        <is>
          <t>N</t>
        </is>
      </c>
      <c r="K51" s="9" t="inlineStr">
        <is>
          <t>N</t>
        </is>
      </c>
      <c r="L51" s="10" t="n">
        <v>44263</v>
      </c>
      <c r="M51" s="10" t="n">
        <v>46190</v>
      </c>
      <c r="N51" s="11" t="inlineStr">
        <is>
          <t>CISO oversight</t>
        </is>
      </c>
      <c r="O51" s="9" t="inlineStr">
        <is>
          <t>Tomasz Wierzbicki</t>
        </is>
      </c>
      <c r="P51" s="10" t="n">
        <v>46213</v>
      </c>
      <c r="Q51" s="9" t="inlineStr"/>
      <c r="R51" s="9" t="inlineStr">
        <is>
          <t>Retain</t>
        </is>
      </c>
      <c r="S51" s="9" t="inlineStr"/>
      <c r="T51" s="11" t="inlineStr">
        <is>
          <t>None</t>
        </is>
      </c>
      <c r="U51" s="11" t="inlineStr"/>
      <c r="V51" s="9" t="inlineStr"/>
      <c r="W51" s="10" t="n"/>
      <c r="X51" s="9" t="inlineStr">
        <is>
          <t>Completed</t>
        </is>
      </c>
      <c r="Y51" s="10" t="n">
        <v>46213</v>
      </c>
      <c r="Z51" s="9" t="inlineStr"/>
      <c r="AA51" s="9" t="inlineStr"/>
      <c r="AB51" s="9" t="inlineStr"/>
      <c r="AC51" s="11" t="inlineStr"/>
      <c r="AD51">
        <f>IF(S51="",0,IF(COUNTIF(S$2:S51,S51&amp;"")=1,1,0))</f>
        <v/>
      </c>
    </row>
    <row r="52">
      <c r="A52" s="9" t="inlineStr">
        <is>
          <t>ENT-051</t>
        </is>
      </c>
      <c r="B52" s="9" t="inlineStr">
        <is>
          <t>praman</t>
        </is>
      </c>
      <c r="C52" s="9" t="inlineStr">
        <is>
          <t>Employee</t>
        </is>
      </c>
      <c r="D52" s="9" t="inlineStr">
        <is>
          <t>Security</t>
        </is>
      </c>
      <c r="E52" s="9" t="inlineStr">
        <is>
          <t>Security Compliance Manager</t>
        </is>
      </c>
      <c r="F52" s="9" t="inlineStr">
        <is>
          <t>Alicia Moreno</t>
        </is>
      </c>
      <c r="G52" s="9" t="inlineStr">
        <is>
          <t>Active</t>
        </is>
      </c>
      <c r="H52" s="9" t="inlineStr">
        <is>
          <t>AWS wcp-prod</t>
        </is>
      </c>
      <c r="I52" s="9" t="inlineStr">
        <is>
          <t>SecurityAudit</t>
        </is>
      </c>
      <c r="J52" s="9" t="inlineStr">
        <is>
          <t>N</t>
        </is>
      </c>
      <c r="K52" s="9" t="inlineStr">
        <is>
          <t>N</t>
        </is>
      </c>
      <c r="L52" s="10" t="n">
        <v>44942</v>
      </c>
      <c r="M52" s="10" t="n">
        <v>46202</v>
      </c>
      <c r="N52" s="11" t="inlineStr">
        <is>
          <t>GRC evidence collection</t>
        </is>
      </c>
      <c r="O52" s="9" t="inlineStr">
        <is>
          <t>Tomasz Wierzbicki</t>
        </is>
      </c>
      <c r="P52" s="10" t="n">
        <v>46213</v>
      </c>
      <c r="Q52" s="9" t="inlineStr"/>
      <c r="R52" s="9" t="inlineStr">
        <is>
          <t>Retain</t>
        </is>
      </c>
      <c r="S52" s="9" t="inlineStr"/>
      <c r="T52" s="11" t="inlineStr">
        <is>
          <t>None</t>
        </is>
      </c>
      <c r="U52" s="11" t="inlineStr"/>
      <c r="V52" s="9" t="inlineStr"/>
      <c r="W52" s="10" t="n"/>
      <c r="X52" s="9" t="inlineStr">
        <is>
          <t>Completed</t>
        </is>
      </c>
      <c r="Y52" s="10" t="n">
        <v>46213</v>
      </c>
      <c r="Z52" s="9" t="inlineStr"/>
      <c r="AA52" s="9" t="inlineStr"/>
      <c r="AB52" s="9" t="inlineStr"/>
      <c r="AC52" s="11" t="inlineStr"/>
      <c r="AD52">
        <f>IF(S52="",0,IF(COUNTIF(S$2:S52,S52&amp;"")=1,1,0))</f>
        <v/>
      </c>
    </row>
    <row r="53">
      <c r="A53" s="9" t="inlineStr">
        <is>
          <t>ENT-052</t>
        </is>
      </c>
      <c r="B53" s="9" t="inlineStr">
        <is>
          <t>shaddad</t>
        </is>
      </c>
      <c r="C53" s="9" t="inlineStr">
        <is>
          <t>Employee</t>
        </is>
      </c>
      <c r="D53" s="9" t="inlineStr">
        <is>
          <t>Executive</t>
        </is>
      </c>
      <c r="E53" s="9" t="inlineStr">
        <is>
          <t>Chief Technology Officer</t>
        </is>
      </c>
      <c r="F53" s="9" t="inlineStr">
        <is>
          <t>Elena Marsh</t>
        </is>
      </c>
      <c r="G53" s="9" t="inlineStr">
        <is>
          <t>Active</t>
        </is>
      </c>
      <c r="H53" s="9" t="inlineStr">
        <is>
          <t>AWS wcp-prod</t>
        </is>
      </c>
      <c r="I53" s="9" t="inlineStr">
        <is>
          <t>ViewOnlyAccess</t>
        </is>
      </c>
      <c r="J53" s="9" t="inlineStr">
        <is>
          <t>N</t>
        </is>
      </c>
      <c r="K53" s="9" t="inlineStr">
        <is>
          <t>N</t>
        </is>
      </c>
      <c r="L53" s="10" t="n">
        <v>43586</v>
      </c>
      <c r="M53" s="10" t="n">
        <v>46175</v>
      </c>
      <c r="N53" s="11" t="inlineStr">
        <is>
          <t>Executive oversight of service health</t>
        </is>
      </c>
      <c r="O53" s="9" t="inlineStr">
        <is>
          <t>Tomasz Wierzbicki</t>
        </is>
      </c>
      <c r="P53" s="10" t="n">
        <v>46213</v>
      </c>
      <c r="Q53" s="9" t="inlineStr"/>
      <c r="R53" s="9" t="inlineStr">
        <is>
          <t>Retain</t>
        </is>
      </c>
      <c r="S53" s="9" t="inlineStr"/>
      <c r="T53" s="11" t="inlineStr">
        <is>
          <t>None</t>
        </is>
      </c>
      <c r="U53" s="11" t="inlineStr"/>
      <c r="V53" s="9" t="inlineStr"/>
      <c r="W53" s="10" t="n"/>
      <c r="X53" s="9" t="inlineStr">
        <is>
          <t>Completed</t>
        </is>
      </c>
      <c r="Y53" s="10" t="n">
        <v>46213</v>
      </c>
      <c r="Z53" s="9" t="inlineStr"/>
      <c r="AA53" s="9" t="inlineStr"/>
      <c r="AB53" s="9" t="inlineStr"/>
      <c r="AC53" s="11" t="inlineStr"/>
      <c r="AD53">
        <f>IF(S53="",0,IF(COUNTIF(S$2:S53,S53&amp;"")=1,1,0))</f>
        <v/>
      </c>
    </row>
    <row r="54">
      <c r="A54" s="9" t="inlineStr">
        <is>
          <t>ENT-053</t>
        </is>
      </c>
      <c r="B54" s="9" t="inlineStr">
        <is>
          <t>sricci</t>
        </is>
      </c>
      <c r="C54" s="9" t="inlineStr">
        <is>
          <t>Employee</t>
        </is>
      </c>
      <c r="D54" s="9" t="inlineStr">
        <is>
          <t>Engineering</t>
        </is>
      </c>
      <c r="E54" s="9" t="inlineStr">
        <is>
          <t>Engineering Manager</t>
        </is>
      </c>
      <c r="F54" s="9" t="inlineStr">
        <is>
          <t>Grace Lindqvist</t>
        </is>
      </c>
      <c r="G54" s="9" t="inlineStr">
        <is>
          <t>Active</t>
        </is>
      </c>
      <c r="H54" s="9" t="inlineStr">
        <is>
          <t>AWS wcp-prod</t>
        </is>
      </c>
      <c r="I54" s="9" t="inlineStr">
        <is>
          <t>ViewOnlyAccess</t>
        </is>
      </c>
      <c r="J54" s="9" t="inlineStr">
        <is>
          <t>N</t>
        </is>
      </c>
      <c r="K54" s="9" t="inlineStr">
        <is>
          <t>N</t>
        </is>
      </c>
      <c r="L54" s="10" t="n">
        <v>44228</v>
      </c>
      <c r="M54" s="10" t="n">
        <v>46197</v>
      </c>
      <c r="N54" s="11" t="inlineStr">
        <is>
          <t>Service health for application teams</t>
        </is>
      </c>
      <c r="O54" s="9" t="inlineStr">
        <is>
          <t>Tomasz Wierzbicki</t>
        </is>
      </c>
      <c r="P54" s="10" t="n">
        <v>46213</v>
      </c>
      <c r="Q54" s="9" t="inlineStr"/>
      <c r="R54" s="9" t="inlineStr">
        <is>
          <t>Retain</t>
        </is>
      </c>
      <c r="S54" s="9" t="inlineStr"/>
      <c r="T54" s="11" t="inlineStr">
        <is>
          <t>None</t>
        </is>
      </c>
      <c r="U54" s="11" t="inlineStr"/>
      <c r="V54" s="9" t="inlineStr"/>
      <c r="W54" s="10" t="n"/>
      <c r="X54" s="9" t="inlineStr">
        <is>
          <t>Completed</t>
        </is>
      </c>
      <c r="Y54" s="10" t="n">
        <v>46213</v>
      </c>
      <c r="Z54" s="9" t="inlineStr"/>
      <c r="AA54" s="9" t="inlineStr"/>
      <c r="AB54" s="9" t="inlineStr"/>
      <c r="AC54" s="11" t="inlineStr"/>
      <c r="AD54">
        <f>IF(S54="",0,IF(COUNTIF(S$2:S54,S54&amp;"")=1,1,0))</f>
        <v/>
      </c>
    </row>
    <row r="55">
      <c r="A55" s="9" t="inlineStr">
        <is>
          <t>ENT-054</t>
        </is>
      </c>
      <c r="B55" s="9" t="inlineStr">
        <is>
          <t>lporter</t>
        </is>
      </c>
      <c r="C55" s="9" t="inlineStr">
        <is>
          <t>Employee</t>
        </is>
      </c>
      <c r="D55" s="9" t="inlineStr">
        <is>
          <t>Data Engineering</t>
        </is>
      </c>
      <c r="E55" s="9" t="inlineStr">
        <is>
          <t>Data Engineering Manager</t>
        </is>
      </c>
      <c r="F55" s="9" t="inlineStr">
        <is>
          <t>Samir Haddad</t>
        </is>
      </c>
      <c r="G55" s="9" t="inlineStr">
        <is>
          <t>Active</t>
        </is>
      </c>
      <c r="H55" s="9" t="inlineStr">
        <is>
          <t>AWS wcp-prod</t>
        </is>
      </c>
      <c r="I55" s="9" t="inlineStr">
        <is>
          <t>ViewOnlyAccess</t>
        </is>
      </c>
      <c r="J55" s="9" t="inlineStr">
        <is>
          <t>N</t>
        </is>
      </c>
      <c r="K55" s="9" t="inlineStr">
        <is>
          <t>N</t>
        </is>
      </c>
      <c r="L55" s="10" t="n">
        <v>44326</v>
      </c>
      <c r="M55" s="10" t="n">
        <v>46188</v>
      </c>
      <c r="N55" s="11" t="inlineStr">
        <is>
          <t>Pipeline health</t>
        </is>
      </c>
      <c r="O55" s="9" t="inlineStr">
        <is>
          <t>Tomasz Wierzbicki</t>
        </is>
      </c>
      <c r="P55" s="10" t="n">
        <v>46213</v>
      </c>
      <c r="Q55" s="9" t="inlineStr"/>
      <c r="R55" s="9" t="inlineStr">
        <is>
          <t>Retain</t>
        </is>
      </c>
      <c r="S55" s="9" t="inlineStr"/>
      <c r="T55" s="11" t="inlineStr">
        <is>
          <t>None</t>
        </is>
      </c>
      <c r="U55" s="11" t="inlineStr"/>
      <c r="V55" s="9" t="inlineStr"/>
      <c r="W55" s="10" t="n"/>
      <c r="X55" s="9" t="inlineStr">
        <is>
          <t>Completed</t>
        </is>
      </c>
      <c r="Y55" s="10" t="n">
        <v>46213</v>
      </c>
      <c r="Z55" s="9" t="inlineStr"/>
      <c r="AA55" s="9" t="inlineStr"/>
      <c r="AB55" s="9" t="inlineStr"/>
      <c r="AC55" s="11" t="inlineStr"/>
      <c r="AD55">
        <f>IF(S55="",0,IF(COUNTIF(S$2:S55,S55&amp;"")=1,1,0))</f>
        <v/>
      </c>
    </row>
    <row r="56">
      <c r="A56" s="9" t="inlineStr">
        <is>
          <t>ENT-055</t>
        </is>
      </c>
      <c r="B56" s="9" t="inlineStr">
        <is>
          <t>sparks</t>
        </is>
      </c>
      <c r="C56" s="9" t="inlineStr">
        <is>
          <t>Employee</t>
        </is>
      </c>
      <c r="D56" s="9" t="inlineStr">
        <is>
          <t>Product</t>
        </is>
      </c>
      <c r="E56" s="9" t="inlineStr">
        <is>
          <t>Product Manager</t>
        </is>
      </c>
      <c r="F56" s="9" t="inlineStr">
        <is>
          <t>Grace Lindqvist</t>
        </is>
      </c>
      <c r="G56" s="9" t="inlineStr">
        <is>
          <t>Active</t>
        </is>
      </c>
      <c r="H56" s="9" t="inlineStr">
        <is>
          <t>AWS wcp-prod</t>
        </is>
      </c>
      <c r="I56" s="9" t="inlineStr">
        <is>
          <t>ViewOnlyAccess</t>
        </is>
      </c>
      <c r="J56" s="9" t="inlineStr">
        <is>
          <t>N</t>
        </is>
      </c>
      <c r="K56" s="9" t="inlineStr">
        <is>
          <t>N</t>
        </is>
      </c>
      <c r="L56" s="10" t="n">
        <v>45369</v>
      </c>
      <c r="M56" s="10" t="n">
        <v>45963</v>
      </c>
      <c r="N56" s="11" t="inlineStr">
        <is>
          <t>Feature usage dashboards</t>
        </is>
      </c>
      <c r="O56" s="9" t="inlineStr">
        <is>
          <t>Tomasz Wierzbicki</t>
        </is>
      </c>
      <c r="P56" s="10" t="n">
        <v>46212</v>
      </c>
      <c r="Q56" s="9" t="inlineStr">
        <is>
          <t>F-INACTIVE</t>
        </is>
      </c>
      <c r="R56" s="9" t="inlineStr">
        <is>
          <t>Revoke</t>
        </is>
      </c>
      <c r="S56" s="9" t="inlineStr">
        <is>
          <t>AR-EX-14</t>
        </is>
      </c>
      <c r="T56" s="11" t="inlineStr">
        <is>
          <t>No use in 240 days (inactive &gt; 90-day threshold)</t>
        </is>
      </c>
      <c r="U56" s="11" t="inlineStr">
        <is>
          <t>Revoke; re-request through ticket if needed</t>
        </is>
      </c>
      <c r="V56" s="9" t="inlineStr">
        <is>
          <t>Tomasz Wierzbicki</t>
        </is>
      </c>
      <c r="W56" s="10" t="n">
        <v>46220</v>
      </c>
      <c r="X56" s="9" t="inlineStr">
        <is>
          <t>Completed</t>
        </is>
      </c>
      <c r="Y56" s="10" t="n">
        <v>46216</v>
      </c>
      <c r="Z56" s="9" t="inlineStr">
        <is>
          <t>EVID-061</t>
        </is>
      </c>
      <c r="AA56" s="9" t="inlineStr">
        <is>
          <t>FIND-004</t>
        </is>
      </c>
      <c r="AB56" s="9" t="inlineStr">
        <is>
          <t>AC-2</t>
        </is>
      </c>
      <c r="AC56" s="11" t="inlineStr"/>
      <c r="AD56">
        <f>IF(S56="",0,IF(COUNTIF(S$2:S56,S56&amp;"")=1,1,0))</f>
        <v/>
      </c>
    </row>
    <row r="57">
      <c r="A57" s="9" t="inlineStr">
        <is>
          <t>ENT-056</t>
        </is>
      </c>
      <c r="B57" s="9" t="inlineStr">
        <is>
          <t>ext-assessor</t>
        </is>
      </c>
      <c r="C57" s="9" t="inlineStr">
        <is>
          <t>External</t>
        </is>
      </c>
      <c r="D57" s="9" t="inlineStr">
        <is>
          <t>Security</t>
        </is>
      </c>
      <c r="E57" s="9" t="inlineStr">
        <is>
          <t>Independent Assessor</t>
        </is>
      </c>
      <c r="F57" s="9" t="inlineStr">
        <is>
          <t>Alicia Moreno</t>
        </is>
      </c>
      <c r="G57" s="9" t="inlineStr">
        <is>
          <t>Active</t>
        </is>
      </c>
      <c r="H57" s="9" t="inlineStr">
        <is>
          <t>AWS wcp-prod</t>
        </is>
      </c>
      <c r="I57" s="9" t="inlineStr">
        <is>
          <t>SecurityAudit</t>
        </is>
      </c>
      <c r="J57" s="9" t="inlineStr">
        <is>
          <t>N</t>
        </is>
      </c>
      <c r="K57" s="9" t="inlineStr">
        <is>
          <t>N</t>
        </is>
      </c>
      <c r="L57" s="10" t="n">
        <v>46188</v>
      </c>
      <c r="M57" s="10" t="n">
        <v>46203</v>
      </c>
      <c r="N57" s="11" t="inlineStr">
        <is>
          <t>Assessment engagement (ends 2026-07-31)</t>
        </is>
      </c>
      <c r="O57" s="9" t="inlineStr">
        <is>
          <t>Tomasz Wierzbicki</t>
        </is>
      </c>
      <c r="P57" s="10" t="n">
        <v>46209</v>
      </c>
      <c r="Q57" s="9" t="inlineStr"/>
      <c r="R57" s="9" t="inlineStr">
        <is>
          <t>Retain (time-bound)</t>
        </is>
      </c>
      <c r="S57" s="9" t="inlineStr"/>
      <c r="T57" s="11" t="inlineStr">
        <is>
          <t>None</t>
        </is>
      </c>
      <c r="U57" s="11" t="inlineStr"/>
      <c r="V57" s="9" t="inlineStr"/>
      <c r="W57" s="10" t="n"/>
      <c r="X57" s="9" t="inlineStr">
        <is>
          <t>Completed</t>
        </is>
      </c>
      <c r="Y57" s="10" t="n">
        <v>46234</v>
      </c>
      <c r="Z57" s="9" t="inlineStr"/>
      <c r="AA57" s="9" t="inlineStr"/>
      <c r="AB57" s="9" t="inlineStr"/>
      <c r="AC57" s="11" t="inlineStr">
        <is>
          <t>Assessor account; removal on 2026-07-31 verified</t>
        </is>
      </c>
      <c r="AD57">
        <f>IF(S57="",0,IF(COUNTIF(S$2:S57,S57&amp;"")=1,1,0))</f>
        <v/>
      </c>
    </row>
    <row r="58">
      <c r="A58" s="9" t="inlineStr">
        <is>
          <t>ENT-057</t>
        </is>
      </c>
      <c r="B58" s="9" t="inlineStr">
        <is>
          <t>aws-breakglass</t>
        </is>
      </c>
      <c r="C58" s="9" t="inlineStr">
        <is>
          <t>Break-glass</t>
        </is>
      </c>
      <c r="D58" s="9" t="inlineStr">
        <is>
          <t>Platform Engineering (owner)</t>
        </is>
      </c>
      <c r="E58" s="9" t="inlineStr">
        <is>
          <t>Emergency AWS administration</t>
        </is>
      </c>
      <c r="F58" s="9" t="inlineStr">
        <is>
          <t>Tomasz Wierzbicki (owner)</t>
        </is>
      </c>
      <c r="G58" s="9" t="inlineStr">
        <is>
          <t>n/a (non-human)</t>
        </is>
      </c>
      <c r="H58" s="9" t="inlineStr">
        <is>
          <t>AWS wcp-prod</t>
        </is>
      </c>
      <c r="I58" s="9" t="inlineStr">
        <is>
          <t>AdministratorAccess</t>
        </is>
      </c>
      <c r="J58" s="9" t="inlineStr">
        <is>
          <t>Y</t>
        </is>
      </c>
      <c r="K58" s="9" t="inlineStr">
        <is>
          <t>Y</t>
        </is>
      </c>
      <c r="L58" s="10" t="n">
        <v>44571</v>
      </c>
      <c r="M58" s="10" t="n">
        <v>46154</v>
      </c>
      <c r="N58" s="11" t="inlineStr">
        <is>
          <t>Emergency access; hardware MFA; no access keys; tested quarterly</t>
        </is>
      </c>
      <c r="O58" s="9" t="inlineStr">
        <is>
          <t>Samir Haddad</t>
        </is>
      </c>
      <c r="P58" s="10" t="n">
        <v>46213</v>
      </c>
      <c r="Q58" s="9" t="inlineStr"/>
      <c r="R58" s="9" t="inlineStr">
        <is>
          <t>Retain</t>
        </is>
      </c>
      <c r="S58" s="9" t="inlineStr"/>
      <c r="T58" s="11" t="inlineStr">
        <is>
          <t>None</t>
        </is>
      </c>
      <c r="U58" s="11" t="inlineStr"/>
      <c r="V58" s="9" t="inlineStr"/>
      <c r="W58" s="10" t="n"/>
      <c r="X58" s="9" t="inlineStr">
        <is>
          <t>Completed</t>
        </is>
      </c>
      <c r="Y58" s="10" t="n">
        <v>46213</v>
      </c>
      <c r="Z58" s="9" t="inlineStr"/>
      <c r="AA58" s="9" t="inlineStr"/>
      <c r="AB58" s="9" t="inlineStr"/>
      <c r="AC58" s="11" t="inlineStr">
        <is>
          <t>Last use = Q2 break-glass test (2026-05-12)</t>
        </is>
      </c>
      <c r="AD58">
        <f>IF(S58="",0,IF(COUNTIF(S$2:S58,S58&amp;"")=1,1,0))</f>
        <v/>
      </c>
    </row>
    <row r="59">
      <c r="A59" s="9" t="inlineStr">
        <is>
          <t>ENT-058</t>
        </is>
      </c>
      <c r="B59" s="9" t="inlineStr">
        <is>
          <t>mfeld-admin</t>
        </is>
      </c>
      <c r="C59" s="9" t="inlineStr">
        <is>
          <t>IAM user (local)</t>
        </is>
      </c>
      <c r="D59" s="9" t="inlineStr">
        <is>
          <t>Platform Engineering</t>
        </is>
      </c>
      <c r="E59" s="9" t="inlineStr">
        <is>
          <t>DevOps Engineer</t>
        </is>
      </c>
      <c r="F59" s="9" t="inlineStr">
        <is>
          <t>Tomasz Wierzbicki</t>
        </is>
      </c>
      <c r="G59" s="9" t="inlineStr">
        <is>
          <t>Terminated</t>
        </is>
      </c>
      <c r="H59" s="9" t="inlineStr">
        <is>
          <t>AWS wcp-prod</t>
        </is>
      </c>
      <c r="I59" s="9" t="inlineStr">
        <is>
          <t>AdministratorAccess</t>
        </is>
      </c>
      <c r="J59" s="9" t="inlineStr">
        <is>
          <t>Y</t>
        </is>
      </c>
      <c r="K59" s="9" t="inlineStr">
        <is>
          <t>Y</t>
        </is>
      </c>
      <c r="L59" s="10" t="n">
        <v>44459</v>
      </c>
      <c r="M59" s="10" t="n">
        <v>46101</v>
      </c>
      <c r="N59" s="11" t="inlineStr">
        <is>
          <t>Legacy IAM user created before IAM Identity Center rollout</t>
        </is>
      </c>
      <c r="O59" s="9" t="inlineStr">
        <is>
          <t>Tomasz Wierzbicki</t>
        </is>
      </c>
      <c r="P59" s="10" t="n">
        <v>46209</v>
      </c>
      <c r="Q59" s="9" t="inlineStr">
        <is>
          <t>F-DAILYADMIN; F-INACTIVE; F-TERM</t>
        </is>
      </c>
      <c r="R59" s="9" t="inlineStr">
        <is>
          <t>Revoke</t>
        </is>
      </c>
      <c r="S59" s="9" t="inlineStr">
        <is>
          <t>AR-EX-03</t>
        </is>
      </c>
      <c r="T59" s="11" t="inlineStr">
        <is>
          <t>Local AWS IAM user of employee terminated 2026-03-27 still active (console password + access key); outside Okta de-provisioning</t>
        </is>
      </c>
      <c r="U59" s="11" t="inlineStr">
        <is>
          <t>Delete IAM user and keys; review CloudTrail for activity after 2026-03-27</t>
        </is>
      </c>
      <c r="V59" s="9" t="inlineStr">
        <is>
          <t>Tomasz Wierzbicki</t>
        </is>
      </c>
      <c r="W59" s="10" t="n">
        <v>46210</v>
      </c>
      <c r="X59" s="9" t="inlineStr">
        <is>
          <t>Completed</t>
        </is>
      </c>
      <c r="Y59" s="10" t="n">
        <v>46209</v>
      </c>
      <c r="Z59" s="9" t="inlineStr">
        <is>
          <t>EVID-064</t>
        </is>
      </c>
      <c r="AA59" s="9" t="inlineStr">
        <is>
          <t>FIND-001</t>
        </is>
      </c>
      <c r="AB59" s="9" t="inlineStr">
        <is>
          <t>AC-2(3); AC-2</t>
        </is>
      </c>
      <c r="AC59" s="11" t="inlineStr">
        <is>
          <t>CloudTrail shows no use after 2026-03-20; root cause is local accounts outside SSO</t>
        </is>
      </c>
      <c r="AD59">
        <f>IF(S59="",0,IF(COUNTIF(S$2:S59,S59&amp;"")=1,1,0))</f>
        <v/>
      </c>
    </row>
    <row r="60">
      <c r="A60" s="9" t="inlineStr">
        <is>
          <t>ENT-059</t>
        </is>
      </c>
      <c r="B60" s="9" t="inlineStr">
        <is>
          <t>svc-reporting-etl</t>
        </is>
      </c>
      <c r="C60" s="9" t="inlineStr">
        <is>
          <t>Service</t>
        </is>
      </c>
      <c r="D60" s="9" t="inlineStr"/>
      <c r="E60" s="9" t="inlineStr">
        <is>
          <t>Monthly outcome-report ETL to legacy-reports</t>
        </is>
      </c>
      <c r="F60" s="9" t="inlineStr">
        <is>
          <t>UNDOCUMENTED</t>
        </is>
      </c>
      <c r="G60" s="9" t="inlineStr">
        <is>
          <t>n/a (non-human)</t>
        </is>
      </c>
      <c r="H60" s="9" t="inlineStr">
        <is>
          <t>AWS wcp-prod</t>
        </is>
      </c>
      <c r="I60" s="9" t="inlineStr">
        <is>
          <t>reporting-etl (custom: S3 extracts read; RDS describe)</t>
        </is>
      </c>
      <c r="J60" s="9" t="inlineStr">
        <is>
          <t>N</t>
        </is>
      </c>
      <c r="K60" s="9" t="inlineStr">
        <is>
          <t>Y</t>
        </is>
      </c>
      <c r="L60" s="10" t="n">
        <v>45329</v>
      </c>
      <c r="M60" s="10" t="n">
        <v>46203</v>
      </c>
      <c r="N60" s="11" t="inlineStr">
        <is>
          <t>Monthly outcome-report ETL to legacy-reports</t>
        </is>
      </c>
      <c r="O60" s="9" t="inlineStr">
        <is>
          <t>Tomasz Wierzbicki</t>
        </is>
      </c>
      <c r="P60" s="10" t="n">
        <v>46212</v>
      </c>
      <c r="Q60" s="9" t="inlineStr">
        <is>
          <t>F-SVC-OWNER; F-SVC-ROTATION</t>
        </is>
      </c>
      <c r="R60" s="9" t="inlineStr">
        <is>
          <t>Modify</t>
        </is>
      </c>
      <c r="S60" s="9" t="inlineStr">
        <is>
          <t>AR-EX-19</t>
        </is>
      </c>
      <c r="T60" s="11" t="inlineStr">
        <is>
          <t>IAM user with a static access key over 365 days old; creator terminated; no documented owner</t>
        </is>
      </c>
      <c r="U60" s="11" t="inlineStr">
        <is>
          <t>Assign owner; migrate to an IAM role; delete the IAM user and key</t>
        </is>
      </c>
      <c r="V60" s="9" t="inlineStr">
        <is>
          <t>Tomasz Wierzbicki</t>
        </is>
      </c>
      <c r="W60" s="10" t="n">
        <v>46276</v>
      </c>
      <c r="X60" s="9" t="inlineStr">
        <is>
          <t>Completed</t>
        </is>
      </c>
      <c r="Y60" s="10" t="n">
        <v>46268</v>
      </c>
      <c r="Z60" s="9" t="inlineStr">
        <is>
          <t>EVID-064; EVID-065</t>
        </is>
      </c>
      <c r="AA60" s="9" t="inlineStr">
        <is>
          <t>FIND-005</t>
        </is>
      </c>
      <c r="AB60" s="9" t="inlineStr">
        <is>
          <t>IA-5; AC-2</t>
        </is>
      </c>
      <c r="AC60" s="11" t="inlineStr"/>
      <c r="AD60">
        <f>IF(S60="",0,IF(COUNTIF(S$2:S60,S60&amp;"")=1,1,0))</f>
        <v/>
      </c>
    </row>
    <row r="61">
      <c r="A61" s="9" t="inlineStr">
        <is>
          <t>ENT-060</t>
        </is>
      </c>
      <c r="B61" s="9" t="inlineStr">
        <is>
          <t>svc-ci-deploy</t>
        </is>
      </c>
      <c r="C61" s="9" t="inlineStr">
        <is>
          <t>Service</t>
        </is>
      </c>
      <c r="D61" s="9" t="inlineStr">
        <is>
          <t>Platform Engineering (owner)</t>
        </is>
      </c>
      <c r="E61" s="9" t="inlineStr">
        <is>
          <t>CI/CD deploy role for GitHub Actions</t>
        </is>
      </c>
      <c r="F61" s="9" t="inlineStr">
        <is>
          <t>Tomasz Wierzbicki (owner)</t>
        </is>
      </c>
      <c r="G61" s="9" t="inlineStr">
        <is>
          <t>n/a (non-human)</t>
        </is>
      </c>
      <c r="H61" s="9" t="inlineStr">
        <is>
          <t>AWS wcp-prod</t>
        </is>
      </c>
      <c r="I61" s="9" t="inlineStr">
        <is>
          <t>deploy-eks (custom; GitHub OIDC federation)</t>
        </is>
      </c>
      <c r="J61" s="9" t="inlineStr">
        <is>
          <t>Y</t>
        </is>
      </c>
      <c r="K61" s="9" t="inlineStr">
        <is>
          <t>N</t>
        </is>
      </c>
      <c r="L61" s="10" t="n">
        <v>45413</v>
      </c>
      <c r="M61" s="10" t="n">
        <v>46203</v>
      </c>
      <c r="N61" s="11" t="inlineStr">
        <is>
          <t>CI/CD deployment role (no static credentials)</t>
        </is>
      </c>
      <c r="O61" s="9" t="inlineStr">
        <is>
          <t>Tomasz Wierzbicki</t>
        </is>
      </c>
      <c r="P61" s="10" t="n">
        <v>46213</v>
      </c>
      <c r="Q61" s="9" t="inlineStr"/>
      <c r="R61" s="9" t="inlineStr">
        <is>
          <t>Retain</t>
        </is>
      </c>
      <c r="S61" s="9" t="inlineStr"/>
      <c r="T61" s="11" t="inlineStr">
        <is>
          <t>None</t>
        </is>
      </c>
      <c r="U61" s="11" t="inlineStr"/>
      <c r="V61" s="9" t="inlineStr"/>
      <c r="W61" s="10" t="n"/>
      <c r="X61" s="9" t="inlineStr">
        <is>
          <t>Completed</t>
        </is>
      </c>
      <c r="Y61" s="10" t="n">
        <v>46213</v>
      </c>
      <c r="Z61" s="9" t="inlineStr"/>
      <c r="AA61" s="9" t="inlineStr"/>
      <c r="AB61" s="9" t="inlineStr"/>
      <c r="AC61" s="11" t="inlineStr"/>
      <c r="AD61">
        <f>IF(S61="",0,IF(COUNTIF(S$2:S61,S61&amp;"")=1,1,0))</f>
        <v/>
      </c>
    </row>
    <row r="62">
      <c r="A62" s="9" t="inlineStr">
        <is>
          <t>ENT-061</t>
        </is>
      </c>
      <c r="B62" s="9" t="inlineStr">
        <is>
          <t>shaddad</t>
        </is>
      </c>
      <c r="C62" s="9" t="inlineStr">
        <is>
          <t>Employee</t>
        </is>
      </c>
      <c r="D62" s="9" t="inlineStr">
        <is>
          <t>Executive</t>
        </is>
      </c>
      <c r="E62" s="9" t="inlineStr">
        <is>
          <t>Chief Technology Officer</t>
        </is>
      </c>
      <c r="F62" s="9" t="inlineStr">
        <is>
          <t>Elena Marsh</t>
        </is>
      </c>
      <c r="G62" s="9" t="inlineStr">
        <is>
          <t>Active</t>
        </is>
      </c>
      <c r="H62" s="9" t="inlineStr">
        <is>
          <t>GitHub</t>
        </is>
      </c>
      <c r="I62" s="9" t="inlineStr">
        <is>
          <t>Organization Owner</t>
        </is>
      </c>
      <c r="J62" s="9" t="inlineStr">
        <is>
          <t>Y</t>
        </is>
      </c>
      <c r="K62" s="9" t="inlineStr">
        <is>
          <t>N</t>
        </is>
      </c>
      <c r="L62" s="10" t="n">
        <v>42795</v>
      </c>
      <c r="M62" s="10" t="n">
        <v>46191</v>
      </c>
      <c r="N62" s="11" t="inlineStr">
        <is>
          <t>CTO; org ownership</t>
        </is>
      </c>
      <c r="O62" s="9" t="inlineStr">
        <is>
          <t>Grace Lindqvist</t>
        </is>
      </c>
      <c r="P62" s="10" t="n">
        <v>46213</v>
      </c>
      <c r="Q62" s="9" t="inlineStr"/>
      <c r="R62" s="9" t="inlineStr">
        <is>
          <t>Retain</t>
        </is>
      </c>
      <c r="S62" s="9" t="inlineStr"/>
      <c r="T62" s="11" t="inlineStr">
        <is>
          <t>None</t>
        </is>
      </c>
      <c r="U62" s="11" t="inlineStr"/>
      <c r="V62" s="9" t="inlineStr"/>
      <c r="W62" s="10" t="n"/>
      <c r="X62" s="9" t="inlineStr">
        <is>
          <t>Completed</t>
        </is>
      </c>
      <c r="Y62" s="10" t="n">
        <v>46213</v>
      </c>
      <c r="Z62" s="9" t="inlineStr"/>
      <c r="AA62" s="9" t="inlineStr"/>
      <c r="AB62" s="9" t="inlineStr"/>
      <c r="AC62" s="11" t="inlineStr"/>
      <c r="AD62">
        <f>IF(S62="",0,IF(COUNTIF(S$2:S62,S62&amp;"")=1,1,0))</f>
        <v/>
      </c>
    </row>
    <row r="63">
      <c r="A63" s="9" t="inlineStr">
        <is>
          <t>ENT-062</t>
        </is>
      </c>
      <c r="B63" s="9" t="inlineStr">
        <is>
          <t>twierzbicki</t>
        </is>
      </c>
      <c r="C63" s="9" t="inlineStr">
        <is>
          <t>Employee</t>
        </is>
      </c>
      <c r="D63" s="9" t="inlineStr">
        <is>
          <t>Platform Engineering</t>
        </is>
      </c>
      <c r="E63" s="9" t="inlineStr">
        <is>
          <t>Director Platform Engineering</t>
        </is>
      </c>
      <c r="F63" s="9" t="inlineStr">
        <is>
          <t>Samir Haddad</t>
        </is>
      </c>
      <c r="G63" s="9" t="inlineStr">
        <is>
          <t>Active</t>
        </is>
      </c>
      <c r="H63" s="9" t="inlineStr">
        <is>
          <t>GitHub</t>
        </is>
      </c>
      <c r="I63" s="9" t="inlineStr">
        <is>
          <t>Organization Owner</t>
        </is>
      </c>
      <c r="J63" s="9" t="inlineStr">
        <is>
          <t>Y</t>
        </is>
      </c>
      <c r="K63" s="9" t="inlineStr">
        <is>
          <t>N</t>
        </is>
      </c>
      <c r="L63" s="10" t="n">
        <v>43563</v>
      </c>
      <c r="M63" s="10" t="n">
        <v>46203</v>
      </c>
      <c r="N63" s="11" t="inlineStr">
        <is>
          <t>Platform owner of Actions and runners</t>
        </is>
      </c>
      <c r="O63" s="9" t="inlineStr">
        <is>
          <t>Grace Lindqvist</t>
        </is>
      </c>
      <c r="P63" s="10" t="n">
        <v>46213</v>
      </c>
      <c r="Q63" s="9" t="inlineStr"/>
      <c r="R63" s="9" t="inlineStr">
        <is>
          <t>Retain</t>
        </is>
      </c>
      <c r="S63" s="9" t="inlineStr"/>
      <c r="T63" s="11" t="inlineStr">
        <is>
          <t>None</t>
        </is>
      </c>
      <c r="U63" s="11" t="inlineStr"/>
      <c r="V63" s="9" t="inlineStr"/>
      <c r="W63" s="10" t="n"/>
      <c r="X63" s="9" t="inlineStr">
        <is>
          <t>Completed</t>
        </is>
      </c>
      <c r="Y63" s="10" t="n">
        <v>46213</v>
      </c>
      <c r="Z63" s="9" t="inlineStr"/>
      <c r="AA63" s="9" t="inlineStr"/>
      <c r="AB63" s="9" t="inlineStr"/>
      <c r="AC63" s="11" t="inlineStr"/>
      <c r="AD63">
        <f>IF(S63="",0,IF(COUNTIF(S$2:S63,S63&amp;"")=1,1,0))</f>
        <v/>
      </c>
    </row>
    <row r="64">
      <c r="A64" s="9" t="inlineStr">
        <is>
          <t>ENT-063</t>
        </is>
      </c>
      <c r="B64" s="9" t="inlineStr">
        <is>
          <t>jkim</t>
        </is>
      </c>
      <c r="C64" s="9" t="inlineStr">
        <is>
          <t>Employee</t>
        </is>
      </c>
      <c r="D64" s="9" t="inlineStr">
        <is>
          <t>Platform Engineering</t>
        </is>
      </c>
      <c r="E64" s="9" t="inlineStr">
        <is>
          <t>Senior SRE</t>
        </is>
      </c>
      <c r="F64" s="9" t="inlineStr">
        <is>
          <t>Tomasz Wierzbicki</t>
        </is>
      </c>
      <c r="G64" s="9" t="inlineStr">
        <is>
          <t>Active</t>
        </is>
      </c>
      <c r="H64" s="9" t="inlineStr">
        <is>
          <t>GitHub</t>
        </is>
      </c>
      <c r="I64" s="9" t="inlineStr">
        <is>
          <t>Organization Owner</t>
        </is>
      </c>
      <c r="J64" s="9" t="inlineStr">
        <is>
          <t>Y</t>
        </is>
      </c>
      <c r="K64" s="9" t="inlineStr">
        <is>
          <t>N</t>
        </is>
      </c>
      <c r="L64" s="10" t="n">
        <v>44270</v>
      </c>
      <c r="M64" s="10" t="n">
        <v>46203</v>
      </c>
      <c r="N64" s="11" t="inlineStr">
        <is>
          <t>Backup platform owner</t>
        </is>
      </c>
      <c r="O64" s="9" t="inlineStr">
        <is>
          <t>Grace Lindqvist</t>
        </is>
      </c>
      <c r="P64" s="10" t="n">
        <v>46213</v>
      </c>
      <c r="Q64" s="9" t="inlineStr"/>
      <c r="R64" s="9" t="inlineStr">
        <is>
          <t>Retain</t>
        </is>
      </c>
      <c r="S64" s="9" t="inlineStr"/>
      <c r="T64" s="11" t="inlineStr">
        <is>
          <t>None</t>
        </is>
      </c>
      <c r="U64" s="11" t="inlineStr"/>
      <c r="V64" s="9" t="inlineStr"/>
      <c r="W64" s="10" t="n"/>
      <c r="X64" s="9" t="inlineStr">
        <is>
          <t>Completed</t>
        </is>
      </c>
      <c r="Y64" s="10" t="n">
        <v>46213</v>
      </c>
      <c r="Z64" s="9" t="inlineStr"/>
      <c r="AA64" s="9" t="inlineStr"/>
      <c r="AB64" s="9" t="inlineStr"/>
      <c r="AC64" s="11" t="inlineStr"/>
      <c r="AD64">
        <f>IF(S64="",0,IF(COUNTIF(S$2:S64,S64&amp;"")=1,1,0))</f>
        <v/>
      </c>
    </row>
    <row r="65">
      <c r="A65" s="9" t="inlineStr">
        <is>
          <t>ENT-064</t>
        </is>
      </c>
      <c r="B65" s="9" t="inlineStr">
        <is>
          <t>glindqvist</t>
        </is>
      </c>
      <c r="C65" s="9" t="inlineStr">
        <is>
          <t>Employee</t>
        </is>
      </c>
      <c r="D65" s="9" t="inlineStr">
        <is>
          <t>Engineering</t>
        </is>
      </c>
      <c r="E65" s="9" t="inlineStr">
        <is>
          <t>VP Engineering</t>
        </is>
      </c>
      <c r="F65" s="9" t="inlineStr">
        <is>
          <t>Samir Haddad</t>
        </is>
      </c>
      <c r="G65" s="9" t="inlineStr">
        <is>
          <t>Active</t>
        </is>
      </c>
      <c r="H65" s="9" t="inlineStr">
        <is>
          <t>GitHub</t>
        </is>
      </c>
      <c r="I65" s="9" t="inlineStr">
        <is>
          <t>Organization Owner</t>
        </is>
      </c>
      <c r="J65" s="9" t="inlineStr">
        <is>
          <t>Y</t>
        </is>
      </c>
      <c r="K65" s="9" t="inlineStr">
        <is>
          <t>N</t>
        </is>
      </c>
      <c r="L65" s="10" t="n">
        <v>44004</v>
      </c>
      <c r="M65" s="10" t="n">
        <v>46170</v>
      </c>
      <c r="N65" s="11" t="inlineStr">
        <is>
          <t>VP Engineering</t>
        </is>
      </c>
      <c r="O65" s="9" t="inlineStr">
        <is>
          <t>Samir Haddad</t>
        </is>
      </c>
      <c r="P65" s="10" t="n">
        <v>46213</v>
      </c>
      <c r="Q65" s="9" t="inlineStr">
        <is>
          <t>F-BASELINE</t>
        </is>
      </c>
      <c r="R65" s="9" t="inlineStr">
        <is>
          <t>Modify</t>
        </is>
      </c>
      <c r="S65" s="9" t="inlineStr">
        <is>
          <t>AR-EX-08</t>
        </is>
      </c>
      <c r="T65" s="11" t="inlineStr">
        <is>
          <t>GitHub org owners (5) exceed the approved maximum of 3; owner role not required for VP Engineering</t>
        </is>
      </c>
      <c r="U65" s="11" t="inlineStr">
        <is>
          <t>Reduce to Maintainer; document owner roster in the access policy</t>
        </is>
      </c>
      <c r="V65" s="9" t="inlineStr">
        <is>
          <t>Samir Haddad</t>
        </is>
      </c>
      <c r="W65" s="10" t="n">
        <v>46248</v>
      </c>
      <c r="X65" s="9" t="inlineStr">
        <is>
          <t>Completed</t>
        </is>
      </c>
      <c r="Y65" s="10" t="n">
        <v>46245</v>
      </c>
      <c r="Z65" s="9" t="inlineStr">
        <is>
          <t>EVID-076</t>
        </is>
      </c>
      <c r="AA65" s="9" t="inlineStr">
        <is>
          <t>FIND-003</t>
        </is>
      </c>
      <c r="AB65" s="9" t="inlineStr">
        <is>
          <t>AC-6(5)</t>
        </is>
      </c>
      <c r="AC65" s="11" t="inlineStr"/>
      <c r="AD65">
        <f>IF(S65="",0,IF(COUNTIF(S$2:S65,S65&amp;"")=1,1,0))</f>
        <v/>
      </c>
    </row>
    <row r="66">
      <c r="A66" s="9" t="inlineStr">
        <is>
          <t>ENT-065</t>
        </is>
      </c>
      <c r="B66" s="9" t="inlineStr">
        <is>
          <t>hlarsen</t>
        </is>
      </c>
      <c r="C66" s="9" t="inlineStr">
        <is>
          <t>Employee</t>
        </is>
      </c>
      <c r="D66" s="9" t="inlineStr">
        <is>
          <t>Engineering</t>
        </is>
      </c>
      <c r="E66" s="9" t="inlineStr">
        <is>
          <t>Software Engineer</t>
        </is>
      </c>
      <c r="F66" s="9" t="inlineStr">
        <is>
          <t>Sofia Ricci</t>
        </is>
      </c>
      <c r="G66" s="9" t="inlineStr">
        <is>
          <t>Active</t>
        </is>
      </c>
      <c r="H66" s="9" t="inlineStr">
        <is>
          <t>GitHub</t>
        </is>
      </c>
      <c r="I66" s="9" t="inlineStr">
        <is>
          <t>Organization Owner</t>
        </is>
      </c>
      <c r="J66" s="9" t="inlineStr">
        <is>
          <t>Y</t>
        </is>
      </c>
      <c r="K66" s="9" t="inlineStr">
        <is>
          <t>N</t>
        </is>
      </c>
      <c r="L66" s="10" t="n">
        <v>45313</v>
      </c>
      <c r="M66" s="10" t="n">
        <v>46142</v>
      </c>
      <c r="N66" s="11" t="inlineStr">
        <is>
          <t>Granted to configure self-hosted Actions runners</t>
        </is>
      </c>
      <c r="O66" s="9" t="inlineStr">
        <is>
          <t>Grace Lindqvist</t>
        </is>
      </c>
      <c r="P66" s="10" t="n">
        <v>46213</v>
      </c>
      <c r="Q66" s="9" t="inlineStr">
        <is>
          <t>F-BASELINE</t>
        </is>
      </c>
      <c r="R66" s="9" t="inlineStr">
        <is>
          <t>Modify</t>
        </is>
      </c>
      <c r="S66" s="9" t="inlineStr">
        <is>
          <t>AR-EX-08</t>
        </is>
      </c>
      <c r="T66" s="11" t="inlineStr">
        <is>
          <t>GitHub org owners (5) exceed the approved maximum of 3; owner role not required for Software Engineer (granted in 2024 for runner setup)</t>
        </is>
      </c>
      <c r="U66" s="11" t="inlineStr">
        <is>
          <t>Reduce to Maintainer</t>
        </is>
      </c>
      <c r="V66" s="9" t="inlineStr">
        <is>
          <t>Grace Lindqvist</t>
        </is>
      </c>
      <c r="W66" s="10" t="n">
        <v>46248</v>
      </c>
      <c r="X66" s="9" t="inlineStr">
        <is>
          <t>Completed</t>
        </is>
      </c>
      <c r="Y66" s="10" t="n">
        <v>46245</v>
      </c>
      <c r="Z66" s="9" t="inlineStr">
        <is>
          <t>EVID-076</t>
        </is>
      </c>
      <c r="AA66" s="9" t="inlineStr">
        <is>
          <t>FIND-003</t>
        </is>
      </c>
      <c r="AB66" s="9" t="inlineStr">
        <is>
          <t>AC-6(5)</t>
        </is>
      </c>
      <c r="AC66" s="11" t="inlineStr"/>
      <c r="AD66">
        <f>IF(S66="",0,IF(COUNTIF(S$2:S66,S66&amp;"")=1,1,0))</f>
        <v/>
      </c>
    </row>
    <row r="67">
      <c r="A67" s="9" t="inlineStr">
        <is>
          <t>ENT-066</t>
        </is>
      </c>
      <c r="B67" s="9" t="inlineStr">
        <is>
          <t>vosei</t>
        </is>
      </c>
      <c r="C67" s="9" t="inlineStr">
        <is>
          <t>Contractor</t>
        </is>
      </c>
      <c r="D67" s="9" t="inlineStr">
        <is>
          <t>Engineering</t>
        </is>
      </c>
      <c r="E67" s="9" t="inlineStr">
        <is>
          <t>Contract Software Engineer</t>
        </is>
      </c>
      <c r="F67" s="9" t="inlineStr">
        <is>
          <t>Sofia Ricci</t>
        </is>
      </c>
      <c r="G67" s="9" t="inlineStr">
        <is>
          <t>Terminated</t>
        </is>
      </c>
      <c r="H67" s="9" t="inlineStr">
        <is>
          <t>GitHub</t>
        </is>
      </c>
      <c r="I67" s="9" t="inlineStr">
        <is>
          <t>Write (wcp-platform repositories)</t>
        </is>
      </c>
      <c r="J67" s="9" t="inlineStr">
        <is>
          <t>N</t>
        </is>
      </c>
      <c r="K67" s="9" t="inlineStr">
        <is>
          <t>N</t>
        </is>
      </c>
      <c r="L67" s="10" t="n">
        <v>45910</v>
      </c>
      <c r="M67" s="10" t="n">
        <v>46177</v>
      </c>
      <c r="N67" s="11" t="inlineStr">
        <is>
          <t>Contract engineering (Northgate SOW 2025-044)</t>
        </is>
      </c>
      <c r="O67" s="9" t="inlineStr">
        <is>
          <t>Grace Lindqvist</t>
        </is>
      </c>
      <c r="P67" s="10" t="n">
        <v>46209</v>
      </c>
      <c r="Q67" s="9" t="inlineStr">
        <is>
          <t>F-TERM</t>
        </is>
      </c>
      <c r="R67" s="9" t="inlineStr">
        <is>
          <t>Revoke</t>
        </is>
      </c>
      <c r="S67" s="9" t="inlineStr">
        <is>
          <t>AR-EX-02</t>
        </is>
      </c>
      <c r="T67" s="11" t="inlineStr">
        <is>
          <t>Terminated contractor retains GitHub write access</t>
        </is>
      </c>
      <c r="U67" s="11" t="inlineStr">
        <is>
          <t>Remove org membership; revoke PATs and SSH keys; review audit log for pushes after 2026-06-05 (none)</t>
        </is>
      </c>
      <c r="V67" s="9" t="inlineStr">
        <is>
          <t>Grace Lindqvist</t>
        </is>
      </c>
      <c r="W67" s="10" t="n">
        <v>46209</v>
      </c>
      <c r="X67" s="9" t="inlineStr">
        <is>
          <t>Completed</t>
        </is>
      </c>
      <c r="Y67" s="10" t="n">
        <v>46209</v>
      </c>
      <c r="Z67" s="9" t="inlineStr">
        <is>
          <t>EVID-061; EVID-078</t>
        </is>
      </c>
      <c r="AA67" s="9" t="inlineStr">
        <is>
          <t>FIND-001</t>
        </is>
      </c>
      <c r="AB67" s="9" t="inlineStr">
        <is>
          <t>AC-2(3); PS-7</t>
        </is>
      </c>
      <c r="AC67" s="11" t="inlineStr">
        <is>
          <t>Last GitHub activity 2026-06-04 (before end date)</t>
        </is>
      </c>
      <c r="AD67">
        <f>IF(S67="",0,IF(COUNTIF(S$2:S67,S67&amp;"")=1,1,0))</f>
        <v/>
      </c>
    </row>
    <row r="68">
      <c r="A68" s="9" t="inlineStr">
        <is>
          <t>ENT-067</t>
        </is>
      </c>
      <c r="B68" s="9" t="inlineStr">
        <is>
          <t>rgupta2</t>
        </is>
      </c>
      <c r="C68" s="9" t="inlineStr">
        <is>
          <t>Contractor</t>
        </is>
      </c>
      <c r="D68" s="9" t="inlineStr">
        <is>
          <t>Engineering</t>
        </is>
      </c>
      <c r="E68" s="9" t="inlineStr">
        <is>
          <t>Contract Software Engineer</t>
        </is>
      </c>
      <c r="F68" s="9" t="inlineStr">
        <is>
          <t>Sofia Ricci</t>
        </is>
      </c>
      <c r="G68" s="9" t="inlineStr">
        <is>
          <t>Terminated</t>
        </is>
      </c>
      <c r="H68" s="9" t="inlineStr">
        <is>
          <t>GitHub</t>
        </is>
      </c>
      <c r="I68" s="9" t="inlineStr">
        <is>
          <t>Write (wcp-platform repositories)</t>
        </is>
      </c>
      <c r="J68" s="9" t="inlineStr">
        <is>
          <t>N</t>
        </is>
      </c>
      <c r="K68" s="9" t="inlineStr">
        <is>
          <t>N</t>
        </is>
      </c>
      <c r="L68" s="10" t="n">
        <v>45448</v>
      </c>
      <c r="M68" s="10" t="n">
        <v>45744</v>
      </c>
      <c r="N68" s="11" t="inlineStr">
        <is>
          <t>Contract engineering (Northgate SOW 2024-117)</t>
        </is>
      </c>
      <c r="O68" s="9" t="inlineStr">
        <is>
          <t>Grace Lindqvist</t>
        </is>
      </c>
      <c r="P68" s="10" t="n">
        <v>46211</v>
      </c>
      <c r="Q68" s="9" t="inlineStr">
        <is>
          <t>F-DUP; F-INACTIVE; F-TERM</t>
        </is>
      </c>
      <c r="R68" s="9" t="inlineStr">
        <is>
          <t>Revoke</t>
        </is>
      </c>
      <c r="S68" s="9" t="inlineStr">
        <is>
          <t>AR-EX-12</t>
        </is>
      </c>
      <c r="T68" s="11" t="inlineStr">
        <is>
          <t>Duplicate identity retains GitHub write access</t>
        </is>
      </c>
      <c r="U68" s="11" t="inlineStr">
        <is>
          <t>Remove org membership; revoke PATs/SSH keys</t>
        </is>
      </c>
      <c r="V68" s="9" t="inlineStr">
        <is>
          <t>Grace Lindqvist</t>
        </is>
      </c>
      <c r="W68" s="10" t="n">
        <v>46220</v>
      </c>
      <c r="X68" s="9" t="inlineStr">
        <is>
          <t>Completed</t>
        </is>
      </c>
      <c r="Y68" s="10" t="n">
        <v>46217</v>
      </c>
      <c r="Z68" s="9" t="inlineStr">
        <is>
          <t>EVID-061</t>
        </is>
      </c>
      <c r="AA68" s="9" t="inlineStr">
        <is>
          <t>FIND-004</t>
        </is>
      </c>
      <c r="AB68" s="9" t="inlineStr">
        <is>
          <t>AC-2</t>
        </is>
      </c>
      <c r="AC68" s="11" t="inlineStr"/>
      <c r="AD68">
        <f>IF(S68="",0,IF(COUNTIF(S$2:S68,S68&amp;"")=1,1,0))</f>
        <v/>
      </c>
    </row>
    <row r="69">
      <c r="A69" s="9" t="inlineStr">
        <is>
          <t>ENT-068</t>
        </is>
      </c>
      <c r="B69" s="9" t="inlineStr">
        <is>
          <t>sricci</t>
        </is>
      </c>
      <c r="C69" s="9" t="inlineStr">
        <is>
          <t>Employee</t>
        </is>
      </c>
      <c r="D69" s="9" t="inlineStr">
        <is>
          <t>Engineering</t>
        </is>
      </c>
      <c r="E69" s="9" t="inlineStr">
        <is>
          <t>Engineering Manager</t>
        </is>
      </c>
      <c r="F69" s="9" t="inlineStr">
        <is>
          <t>Grace Lindqvist</t>
        </is>
      </c>
      <c r="G69" s="9" t="inlineStr">
        <is>
          <t>Active</t>
        </is>
      </c>
      <c r="H69" s="9" t="inlineStr">
        <is>
          <t>GitHub</t>
        </is>
      </c>
      <c r="I69" s="9" t="inlineStr">
        <is>
          <t>Repository Admin (prod-deploy environment approver)</t>
        </is>
      </c>
      <c r="J69" s="9" t="inlineStr">
        <is>
          <t>Y</t>
        </is>
      </c>
      <c r="K69" s="9" t="inlineStr">
        <is>
          <t>N</t>
        </is>
      </c>
      <c r="L69" s="10" t="n">
        <v>44242</v>
      </c>
      <c r="M69" s="10" t="n">
        <v>46203</v>
      </c>
      <c r="N69" s="11" t="inlineStr">
        <is>
          <t>Approves production deployments for application repos</t>
        </is>
      </c>
      <c r="O69" s="9" t="inlineStr">
        <is>
          <t>Grace Lindqvist</t>
        </is>
      </c>
      <c r="P69" s="10" t="n">
        <v>46213</v>
      </c>
      <c r="Q69" s="9" t="inlineStr"/>
      <c r="R69" s="9" t="inlineStr">
        <is>
          <t>Retain</t>
        </is>
      </c>
      <c r="S69" s="9" t="inlineStr"/>
      <c r="T69" s="11" t="inlineStr">
        <is>
          <t>None</t>
        </is>
      </c>
      <c r="U69" s="11" t="inlineStr"/>
      <c r="V69" s="9" t="inlineStr"/>
      <c r="W69" s="10" t="n"/>
      <c r="X69" s="9" t="inlineStr">
        <is>
          <t>Completed</t>
        </is>
      </c>
      <c r="Y69" s="10" t="n">
        <v>46213</v>
      </c>
      <c r="Z69" s="9" t="inlineStr"/>
      <c r="AA69" s="9" t="inlineStr"/>
      <c r="AB69" s="9" t="inlineStr"/>
      <c r="AC69" s="11" t="inlineStr"/>
      <c r="AD69">
        <f>IF(S69="",0,IF(COUNTIF(S$2:S69,S69&amp;"")=1,1,0))</f>
        <v/>
      </c>
    </row>
    <row r="70">
      <c r="A70" s="9" t="inlineStr">
        <is>
          <t>ENT-069</t>
        </is>
      </c>
      <c r="B70" s="9" t="inlineStr">
        <is>
          <t>jkim-adm</t>
        </is>
      </c>
      <c r="C70" s="9" t="inlineStr">
        <is>
          <t>Admin (separate)</t>
        </is>
      </c>
      <c r="D70" s="9" t="inlineStr">
        <is>
          <t>Platform Engineering</t>
        </is>
      </c>
      <c r="E70" s="9" t="inlineStr">
        <is>
          <t>Senior SRE</t>
        </is>
      </c>
      <c r="F70" s="9" t="inlineStr">
        <is>
          <t>Tomasz Wierzbicki</t>
        </is>
      </c>
      <c r="G70" s="9" t="inlineStr">
        <is>
          <t>Active</t>
        </is>
      </c>
      <c r="H70" s="9" t="inlineStr">
        <is>
          <t>wcp-core-db</t>
        </is>
      </c>
      <c r="I70" s="9" t="inlineStr">
        <is>
          <t>dba_admin</t>
        </is>
      </c>
      <c r="J70" s="9" t="inlineStr">
        <is>
          <t>Y</t>
        </is>
      </c>
      <c r="K70" s="9" t="inlineStr">
        <is>
          <t>Y</t>
        </is>
      </c>
      <c r="L70" s="10" t="n">
        <v>45880</v>
      </c>
      <c r="M70" s="10" t="n">
        <v>46185</v>
      </c>
      <c r="N70" s="11" t="inlineStr">
        <is>
          <t>Database administration (separate admin account)</t>
        </is>
      </c>
      <c r="O70" s="9" t="inlineStr">
        <is>
          <t>Tomasz Wierzbicki</t>
        </is>
      </c>
      <c r="P70" s="10" t="n">
        <v>46213</v>
      </c>
      <c r="Q70" s="9" t="inlineStr"/>
      <c r="R70" s="9" t="inlineStr">
        <is>
          <t>Retain</t>
        </is>
      </c>
      <c r="S70" s="9" t="inlineStr"/>
      <c r="T70" s="11" t="inlineStr">
        <is>
          <t>None</t>
        </is>
      </c>
      <c r="U70" s="11" t="inlineStr"/>
      <c r="V70" s="9" t="inlineStr"/>
      <c r="W70" s="10" t="n"/>
      <c r="X70" s="9" t="inlineStr">
        <is>
          <t>Completed</t>
        </is>
      </c>
      <c r="Y70" s="10" t="n">
        <v>46213</v>
      </c>
      <c r="Z70" s="9" t="inlineStr"/>
      <c r="AA70" s="9" t="inlineStr"/>
      <c r="AB70" s="9" t="inlineStr"/>
      <c r="AC70" s="11" t="inlineStr"/>
      <c r="AD70">
        <f>IF(S70="",0,IF(COUNTIF(S$2:S70,S70&amp;"")=1,1,0))</f>
        <v/>
      </c>
    </row>
    <row r="71">
      <c r="A71" s="9" t="inlineStr">
        <is>
          <t>ENT-070</t>
        </is>
      </c>
      <c r="B71" s="9" t="inlineStr">
        <is>
          <t>twierzbicki</t>
        </is>
      </c>
      <c r="C71" s="9" t="inlineStr">
        <is>
          <t>Employee</t>
        </is>
      </c>
      <c r="D71" s="9" t="inlineStr">
        <is>
          <t>Platform Engineering</t>
        </is>
      </c>
      <c r="E71" s="9" t="inlineStr">
        <is>
          <t>Director Platform Engineering</t>
        </is>
      </c>
      <c r="F71" s="9" t="inlineStr">
        <is>
          <t>Samir Haddad</t>
        </is>
      </c>
      <c r="G71" s="9" t="inlineStr">
        <is>
          <t>Active</t>
        </is>
      </c>
      <c r="H71" s="9" t="inlineStr">
        <is>
          <t>wcp-core-db</t>
        </is>
      </c>
      <c r="I71" s="9" t="inlineStr">
        <is>
          <t>dba_admin</t>
        </is>
      </c>
      <c r="J71" s="9" t="inlineStr">
        <is>
          <t>Y</t>
        </is>
      </c>
      <c r="K71" s="9" t="inlineStr">
        <is>
          <t>Y</t>
        </is>
      </c>
      <c r="L71" s="10" t="n">
        <v>43845</v>
      </c>
      <c r="M71" s="10" t="n">
        <v>46114</v>
      </c>
      <c r="N71" s="11" t="inlineStr">
        <is>
          <t>Database escalation</t>
        </is>
      </c>
      <c r="O71" s="9" t="inlineStr">
        <is>
          <t>Samir Haddad</t>
        </is>
      </c>
      <c r="P71" s="10" t="n">
        <v>46213</v>
      </c>
      <c r="Q71" s="9" t="inlineStr"/>
      <c r="R71" s="9" t="inlineStr">
        <is>
          <t>Retain</t>
        </is>
      </c>
      <c r="S71" s="9" t="inlineStr"/>
      <c r="T71" s="11" t="inlineStr">
        <is>
          <t>None</t>
        </is>
      </c>
      <c r="U71" s="11" t="inlineStr"/>
      <c r="V71" s="9" t="inlineStr"/>
      <c r="W71" s="10" t="n"/>
      <c r="X71" s="9" t="inlineStr">
        <is>
          <t>Completed</t>
        </is>
      </c>
      <c r="Y71" s="10" t="n">
        <v>46213</v>
      </c>
      <c r="Z71" s="9" t="inlineStr"/>
      <c r="AA71" s="9" t="inlineStr"/>
      <c r="AB71" s="9" t="inlineStr"/>
      <c r="AC71" s="11" t="inlineStr"/>
      <c r="AD71">
        <f>IF(S71="",0,IF(COUNTIF(S$2:S71,S71&amp;"")=1,1,0))</f>
        <v/>
      </c>
    </row>
    <row r="72">
      <c r="A72" s="9" t="inlineStr">
        <is>
          <t>ENT-071</t>
        </is>
      </c>
      <c r="B72" s="9" t="inlineStr">
        <is>
          <t>svc-wcp-app</t>
        </is>
      </c>
      <c r="C72" s="9" t="inlineStr">
        <is>
          <t>Service</t>
        </is>
      </c>
      <c r="D72" s="9" t="inlineStr">
        <is>
          <t>Platform Engineering (owner)</t>
        </is>
      </c>
      <c r="E72" s="9" t="inlineStr">
        <is>
          <t>Application database identity</t>
        </is>
      </c>
      <c r="F72" s="9" t="inlineStr">
        <is>
          <t>Tomasz Wierzbicki (owner)</t>
        </is>
      </c>
      <c r="G72" s="9" t="inlineStr">
        <is>
          <t>n/a (non-human)</t>
        </is>
      </c>
      <c r="H72" s="9" t="inlineStr">
        <is>
          <t>wcp-core-db</t>
        </is>
      </c>
      <c r="I72" s="9" t="inlineStr">
        <is>
          <t>app_rw</t>
        </is>
      </c>
      <c r="J72" s="9" t="inlineStr">
        <is>
          <t>Y</t>
        </is>
      </c>
      <c r="K72" s="9" t="inlineStr">
        <is>
          <t>Y</t>
        </is>
      </c>
      <c r="L72" s="10" t="n">
        <v>43845</v>
      </c>
      <c r="M72" s="10" t="n">
        <v>46203</v>
      </c>
      <c r="N72" s="11" t="inlineStr">
        <is>
          <t>Application service identity (secret auto-rotated)</t>
        </is>
      </c>
      <c r="O72" s="9" t="inlineStr">
        <is>
          <t>Tomasz Wierzbicki</t>
        </is>
      </c>
      <c r="P72" s="10" t="n">
        <v>46213</v>
      </c>
      <c r="Q72" s="9" t="inlineStr"/>
      <c r="R72" s="9" t="inlineStr">
        <is>
          <t>Retain</t>
        </is>
      </c>
      <c r="S72" s="9" t="inlineStr"/>
      <c r="T72" s="11" t="inlineStr">
        <is>
          <t>None</t>
        </is>
      </c>
      <c r="U72" s="11" t="inlineStr"/>
      <c r="V72" s="9" t="inlineStr"/>
      <c r="W72" s="10" t="n"/>
      <c r="X72" s="9" t="inlineStr">
        <is>
          <t>Completed</t>
        </is>
      </c>
      <c r="Y72" s="10" t="n">
        <v>46213</v>
      </c>
      <c r="Z72" s="9" t="inlineStr"/>
      <c r="AA72" s="9" t="inlineStr"/>
      <c r="AB72" s="9" t="inlineStr"/>
      <c r="AC72" s="11" t="inlineStr"/>
      <c r="AD72">
        <f>IF(S72="",0,IF(COUNTIF(S$2:S72,S72&amp;"")=1,1,0))</f>
        <v/>
      </c>
    </row>
    <row r="73">
      <c r="A73" s="9" t="inlineStr">
        <is>
          <t>ENT-072</t>
        </is>
      </c>
      <c r="B73" s="9" t="inlineStr">
        <is>
          <t>svc-quarrystone-extract</t>
        </is>
      </c>
      <c r="C73" s="9" t="inlineStr">
        <is>
          <t>Service</t>
        </is>
      </c>
      <c r="D73" s="9" t="inlineStr">
        <is>
          <t>Data Engineering (owner)</t>
        </is>
      </c>
      <c r="E73" s="9" t="inlineStr">
        <is>
          <t>Nightly Quarrystone extract query</t>
        </is>
      </c>
      <c r="F73" s="9" t="inlineStr">
        <is>
          <t>Liam Porter (owner)</t>
        </is>
      </c>
      <c r="G73" s="9" t="inlineStr">
        <is>
          <t>n/a (non-human)</t>
        </is>
      </c>
      <c r="H73" s="9" t="inlineStr">
        <is>
          <t>wcp-core-db</t>
        </is>
      </c>
      <c r="I73" s="9" t="inlineStr">
        <is>
          <t>extract_reader (extract views)</t>
        </is>
      </c>
      <c r="J73" s="9" t="inlineStr">
        <is>
          <t>N</t>
        </is>
      </c>
      <c r="K73" s="9" t="inlineStr">
        <is>
          <t>Y</t>
        </is>
      </c>
      <c r="L73" s="10" t="n">
        <v>44986</v>
      </c>
      <c r="M73" s="10" t="n">
        <v>46203</v>
      </c>
      <c r="N73" s="11" t="inlineStr">
        <is>
          <t>Nightly Quarrystone extract</t>
        </is>
      </c>
      <c r="O73" s="9" t="inlineStr">
        <is>
          <t>Tomasz Wierzbicki</t>
        </is>
      </c>
      <c r="P73" s="10" t="n">
        <v>46213</v>
      </c>
      <c r="Q73" s="9" t="inlineStr"/>
      <c r="R73" s="9" t="inlineStr">
        <is>
          <t>Retain</t>
        </is>
      </c>
      <c r="S73" s="9" t="inlineStr"/>
      <c r="T73" s="11" t="inlineStr">
        <is>
          <t>None</t>
        </is>
      </c>
      <c r="U73" s="11" t="inlineStr"/>
      <c r="V73" s="9" t="inlineStr"/>
      <c r="W73" s="10" t="n"/>
      <c r="X73" s="9" t="inlineStr">
        <is>
          <t>Completed</t>
        </is>
      </c>
      <c r="Y73" s="10" t="n">
        <v>46213</v>
      </c>
      <c r="Z73" s="9" t="inlineStr"/>
      <c r="AA73" s="9" t="inlineStr"/>
      <c r="AB73" s="9" t="inlineStr"/>
      <c r="AC73" s="11" t="inlineStr"/>
      <c r="AD73">
        <f>IF(S73="",0,IF(COUNTIF(S$2:S73,S73&amp;"")=1,1,0))</f>
        <v/>
      </c>
    </row>
    <row r="74">
      <c r="A74" s="9" t="inlineStr">
        <is>
          <t>ENT-073</t>
        </is>
      </c>
      <c r="B74" s="9" t="inlineStr">
        <is>
          <t>bnguyen</t>
        </is>
      </c>
      <c r="C74" s="9" t="inlineStr">
        <is>
          <t>Employee</t>
        </is>
      </c>
      <c r="D74" s="9" t="inlineStr">
        <is>
          <t>Data Engineering</t>
        </is>
      </c>
      <c r="E74" s="9" t="inlineStr">
        <is>
          <t>Data Engineer</t>
        </is>
      </c>
      <c r="F74" s="9" t="inlineStr">
        <is>
          <t>Liam Porter</t>
        </is>
      </c>
      <c r="G74" s="9" t="inlineStr">
        <is>
          <t>Active</t>
        </is>
      </c>
      <c r="H74" s="9" t="inlineStr">
        <is>
          <t>wcp-core-db</t>
        </is>
      </c>
      <c r="I74" s="9" t="inlineStr">
        <is>
          <t>app_rw (primary)</t>
        </is>
      </c>
      <c r="J74" s="9" t="inlineStr">
        <is>
          <t>Y</t>
        </is>
      </c>
      <c r="K74" s="9" t="inlineStr">
        <is>
          <t>Y</t>
        </is>
      </c>
      <c r="L74" s="10" t="n">
        <v>45824</v>
      </c>
      <c r="M74" s="10" t="n">
        <v>46184</v>
      </c>
      <c r="N74" s="11" t="inlineStr">
        <is>
          <t>Pipeline backfill</t>
        </is>
      </c>
      <c r="O74" s="9" t="inlineStr">
        <is>
          <t>Tomasz Wierzbicki</t>
        </is>
      </c>
      <c r="P74" s="10" t="n">
        <v>46213</v>
      </c>
      <c r="Q74" s="9" t="inlineStr">
        <is>
          <t>F-BASELINE</t>
        </is>
      </c>
      <c r="R74" s="9" t="inlineStr">
        <is>
          <t>Revoke</t>
        </is>
      </c>
      <c r="S74" s="9" t="inlineStr">
        <is>
          <t>AR-EX-07</t>
        </is>
      </c>
      <c r="T74" s="11" t="inlineStr">
        <is>
          <t>Write access to the PHI primary database is not required for Data Engineer role (backfill finished 2025-07)</t>
        </is>
      </c>
      <c r="U74" s="11" t="inlineStr">
        <is>
          <t>Revoke app_rw; run future backfills as reviewed migration jobs</t>
        </is>
      </c>
      <c r="V74" s="9" t="inlineStr">
        <is>
          <t>Tomasz Wierzbicki</t>
        </is>
      </c>
      <c r="W74" s="10" t="n">
        <v>46234</v>
      </c>
      <c r="X74" s="9" t="inlineStr">
        <is>
          <t>Completed</t>
        </is>
      </c>
      <c r="Y74" s="10" t="n">
        <v>46248</v>
      </c>
      <c r="Z74" s="9" t="inlineStr">
        <is>
          <t>EVID-075</t>
        </is>
      </c>
      <c r="AA74" s="9" t="inlineStr">
        <is>
          <t>FIND-003</t>
        </is>
      </c>
      <c r="AB74" s="9" t="inlineStr">
        <is>
          <t>AC-6; AC-6(5)</t>
        </is>
      </c>
      <c r="AC74" s="11" t="inlineStr">
        <is>
          <t>Completed 14 days after due date (migration-job pattern had to be built first)</t>
        </is>
      </c>
      <c r="AD74">
        <f>IF(S74="",0,IF(COUNTIF(S$2:S74,S74&amp;"")=1,1,0))</f>
        <v/>
      </c>
    </row>
    <row r="75">
      <c r="A75" s="9" t="inlineStr">
        <is>
          <t>ENT-074</t>
        </is>
      </c>
      <c r="B75" s="9" t="inlineStr">
        <is>
          <t>bnguyen</t>
        </is>
      </c>
      <c r="C75" s="9" t="inlineStr">
        <is>
          <t>Employee</t>
        </is>
      </c>
      <c r="D75" s="9" t="inlineStr">
        <is>
          <t>Data Engineering</t>
        </is>
      </c>
      <c r="E75" s="9" t="inlineStr">
        <is>
          <t>Data Engineer</t>
        </is>
      </c>
      <c r="F75" s="9" t="inlineStr">
        <is>
          <t>Liam Porter</t>
        </is>
      </c>
      <c r="G75" s="9" t="inlineStr">
        <is>
          <t>Active</t>
        </is>
      </c>
      <c r="H75" s="9" t="inlineStr">
        <is>
          <t>wcp-core-db</t>
        </is>
      </c>
      <c r="I75" s="9" t="inlineStr">
        <is>
          <t>analytics_readonly (replica)</t>
        </is>
      </c>
      <c r="J75" s="9" t="inlineStr">
        <is>
          <t>N</t>
        </is>
      </c>
      <c r="K75" s="9" t="inlineStr">
        <is>
          <t>Y</t>
        </is>
      </c>
      <c r="L75" s="10" t="n">
        <v>44613</v>
      </c>
      <c r="M75" s="10" t="n">
        <v>46203</v>
      </c>
      <c r="N75" s="11" t="inlineStr">
        <is>
          <t>Analytics pipelines</t>
        </is>
      </c>
      <c r="O75" s="9" t="inlineStr">
        <is>
          <t>Tomasz Wierzbicki</t>
        </is>
      </c>
      <c r="P75" s="10" t="n">
        <v>46213</v>
      </c>
      <c r="Q75" s="9" t="inlineStr"/>
      <c r="R75" s="9" t="inlineStr">
        <is>
          <t>Retain</t>
        </is>
      </c>
      <c r="S75" s="9" t="inlineStr"/>
      <c r="T75" s="11" t="inlineStr">
        <is>
          <t>None</t>
        </is>
      </c>
      <c r="U75" s="11" t="inlineStr"/>
      <c r="V75" s="9" t="inlineStr"/>
      <c r="W75" s="10" t="n"/>
      <c r="X75" s="9" t="inlineStr">
        <is>
          <t>Completed</t>
        </is>
      </c>
      <c r="Y75" s="10" t="n">
        <v>46213</v>
      </c>
      <c r="Z75" s="9" t="inlineStr"/>
      <c r="AA75" s="9" t="inlineStr"/>
      <c r="AB75" s="9" t="inlineStr"/>
      <c r="AC75" s="11" t="inlineStr"/>
      <c r="AD75">
        <f>IF(S75="",0,IF(COUNTIF(S$2:S75,S75&amp;"")=1,1,0))</f>
        <v/>
      </c>
    </row>
    <row r="76">
      <c r="A76" s="9" t="inlineStr">
        <is>
          <t>ENT-075</t>
        </is>
      </c>
      <c r="B76" s="9" t="inlineStr">
        <is>
          <t>lporter</t>
        </is>
      </c>
      <c r="C76" s="9" t="inlineStr">
        <is>
          <t>Employee</t>
        </is>
      </c>
      <c r="D76" s="9" t="inlineStr">
        <is>
          <t>Data Engineering</t>
        </is>
      </c>
      <c r="E76" s="9" t="inlineStr">
        <is>
          <t>Data Engineering Manager</t>
        </is>
      </c>
      <c r="F76" s="9" t="inlineStr">
        <is>
          <t>Samir Haddad</t>
        </is>
      </c>
      <c r="G76" s="9" t="inlineStr">
        <is>
          <t>Active</t>
        </is>
      </c>
      <c r="H76" s="9" t="inlineStr">
        <is>
          <t>wcp-core-db</t>
        </is>
      </c>
      <c r="I76" s="9" t="inlineStr">
        <is>
          <t>analytics_readonly (replica)</t>
        </is>
      </c>
      <c r="J76" s="9" t="inlineStr">
        <is>
          <t>N</t>
        </is>
      </c>
      <c r="K76" s="9" t="inlineStr">
        <is>
          <t>Y</t>
        </is>
      </c>
      <c r="L76" s="10" t="n">
        <v>44326</v>
      </c>
      <c r="M76" s="10" t="n">
        <v>46200</v>
      </c>
      <c r="N76" s="11" t="inlineStr">
        <is>
          <t>Analytics pipelines</t>
        </is>
      </c>
      <c r="O76" s="9" t="inlineStr">
        <is>
          <t>Tomasz Wierzbicki</t>
        </is>
      </c>
      <c r="P76" s="10" t="n">
        <v>46213</v>
      </c>
      <c r="Q76" s="9" t="inlineStr"/>
      <c r="R76" s="9" t="inlineStr">
        <is>
          <t>Retain</t>
        </is>
      </c>
      <c r="S76" s="9" t="inlineStr"/>
      <c r="T76" s="11" t="inlineStr">
        <is>
          <t>None</t>
        </is>
      </c>
      <c r="U76" s="11" t="inlineStr"/>
      <c r="V76" s="9" t="inlineStr"/>
      <c r="W76" s="10" t="n"/>
      <c r="X76" s="9" t="inlineStr">
        <is>
          <t>Completed</t>
        </is>
      </c>
      <c r="Y76" s="10" t="n">
        <v>46213</v>
      </c>
      <c r="Z76" s="9" t="inlineStr"/>
      <c r="AA76" s="9" t="inlineStr"/>
      <c r="AB76" s="9" t="inlineStr"/>
      <c r="AC76" s="11" t="inlineStr"/>
      <c r="AD76">
        <f>IF(S76="",0,IF(COUNTIF(S$2:S76,S76&amp;"")=1,1,0))</f>
        <v/>
      </c>
    </row>
    <row r="77">
      <c r="A77" s="9" t="inlineStr">
        <is>
          <t>ENT-076</t>
        </is>
      </c>
      <c r="B77" s="9" t="inlineStr">
        <is>
          <t>cfernandes</t>
        </is>
      </c>
      <c r="C77" s="9" t="inlineStr">
        <is>
          <t>Employee</t>
        </is>
      </c>
      <c r="D77" s="9" t="inlineStr">
        <is>
          <t>Data Engineering</t>
        </is>
      </c>
      <c r="E77" s="9" t="inlineStr">
        <is>
          <t>Data Engineer</t>
        </is>
      </c>
      <c r="F77" s="9" t="inlineStr">
        <is>
          <t>Liam Porter</t>
        </is>
      </c>
      <c r="G77" s="9" t="inlineStr">
        <is>
          <t>Active</t>
        </is>
      </c>
      <c r="H77" s="9" t="inlineStr">
        <is>
          <t>wcp-core-db</t>
        </is>
      </c>
      <c r="I77" s="9" t="inlineStr">
        <is>
          <t>analytics_readonly (replica)</t>
        </is>
      </c>
      <c r="J77" s="9" t="inlineStr">
        <is>
          <t>N</t>
        </is>
      </c>
      <c r="K77" s="9" t="inlineStr">
        <is>
          <t>Y</t>
        </is>
      </c>
      <c r="L77" s="10" t="n">
        <v>46070</v>
      </c>
      <c r="M77" s="10" t="n">
        <v>46203</v>
      </c>
      <c r="N77" s="11" t="inlineStr">
        <is>
          <t>Analytics pipelines (new role)</t>
        </is>
      </c>
      <c r="O77" s="9" t="inlineStr">
        <is>
          <t>Tomasz Wierzbicki</t>
        </is>
      </c>
      <c r="P77" s="10" t="n">
        <v>46213</v>
      </c>
      <c r="Q77" s="9" t="inlineStr"/>
      <c r="R77" s="9" t="inlineStr">
        <is>
          <t>Retain</t>
        </is>
      </c>
      <c r="S77" s="9" t="inlineStr"/>
      <c r="T77" s="11" t="inlineStr">
        <is>
          <t>None</t>
        </is>
      </c>
      <c r="U77" s="11" t="inlineStr"/>
      <c r="V77" s="9" t="inlineStr"/>
      <c r="W77" s="10" t="n"/>
      <c r="X77" s="9" t="inlineStr">
        <is>
          <t>Completed</t>
        </is>
      </c>
      <c r="Y77" s="10" t="n">
        <v>46213</v>
      </c>
      <c r="Z77" s="9" t="inlineStr"/>
      <c r="AA77" s="9" t="inlineStr"/>
      <c r="AB77" s="9" t="inlineStr"/>
      <c r="AC77" s="11" t="inlineStr"/>
      <c r="AD77">
        <f>IF(S77="",0,IF(COUNTIF(S$2:S77,S77&amp;"")=1,1,0))</f>
        <v/>
      </c>
    </row>
    <row r="78">
      <c r="A78" s="9" t="inlineStr">
        <is>
          <t>ENT-077</t>
        </is>
      </c>
      <c r="B78" s="9" t="inlineStr">
        <is>
          <t>cfernandes</t>
        </is>
      </c>
      <c r="C78" s="9" t="inlineStr">
        <is>
          <t>Employee</t>
        </is>
      </c>
      <c r="D78" s="9" t="inlineStr">
        <is>
          <t>Data Engineering</t>
        </is>
      </c>
      <c r="E78" s="9" t="inlineStr">
        <is>
          <t>Data Engineer</t>
        </is>
      </c>
      <c r="F78" s="9" t="inlineStr">
        <is>
          <t>Liam Porter</t>
        </is>
      </c>
      <c r="G78" s="9" t="inlineStr">
        <is>
          <t>Active</t>
        </is>
      </c>
      <c r="H78" s="9" t="inlineStr">
        <is>
          <t>wcp-core-db</t>
        </is>
      </c>
      <c r="I78" s="9" t="inlineStr">
        <is>
          <t>support_readonly (primary)</t>
        </is>
      </c>
      <c r="J78" s="9" t="inlineStr">
        <is>
          <t>N</t>
        </is>
      </c>
      <c r="K78" s="9" t="inlineStr">
        <is>
          <t>Y</t>
        </is>
      </c>
      <c r="L78" s="10" t="n">
        <v>45089</v>
      </c>
      <c r="M78" s="10" t="n">
        <v>46156</v>
      </c>
      <c r="N78" s="11" t="inlineStr">
        <is>
          <t>Tier-2 support troubleshooting</t>
        </is>
      </c>
      <c r="O78" s="9" t="inlineStr">
        <is>
          <t>Tomasz Wierzbicki</t>
        </is>
      </c>
      <c r="P78" s="10" t="n">
        <v>46212</v>
      </c>
      <c r="Q78" s="9" t="inlineStr">
        <is>
          <t>F-BASELINE; F-TRANSFER</t>
        </is>
      </c>
      <c r="R78" s="9" t="inlineStr">
        <is>
          <t>Revoke</t>
        </is>
      </c>
      <c r="S78" s="9" t="inlineStr">
        <is>
          <t>AR-EX-13</t>
        </is>
      </c>
      <c r="T78" s="11" t="inlineStr">
        <is>
          <t>Transferred from Support to Data Engineering on 2026-02-16 but kept PHI support access from prior role; used on 2026-05-14 (after transfer)</t>
        </is>
      </c>
      <c r="U78" s="11" t="inlineStr">
        <is>
          <t>Revoke; update the transfer checklist to re-baseline access</t>
        </is>
      </c>
      <c r="V78" s="9" t="inlineStr">
        <is>
          <t>Tomasz Wierzbicki</t>
        </is>
      </c>
      <c r="W78" s="10" t="n">
        <v>46220</v>
      </c>
      <c r="X78" s="9" t="inlineStr">
        <is>
          <t>Completed</t>
        </is>
      </c>
      <c r="Y78" s="10" t="n">
        <v>46216</v>
      </c>
      <c r="Z78" s="9" t="inlineStr">
        <is>
          <t>EVID-061</t>
        </is>
      </c>
      <c r="AA78" s="9" t="inlineStr">
        <is>
          <t>FIND-004</t>
        </is>
      </c>
      <c r="AB78" s="9" t="inlineStr">
        <is>
          <t>PS-5; AC-2</t>
        </is>
      </c>
      <c r="AC78" s="11" t="inlineStr">
        <is>
          <t>Interview: used to help former team on an escalation; should have gone through a ticket</t>
        </is>
      </c>
      <c r="AD78">
        <f>IF(S78="",0,IF(COUNTIF(S$2:S78,S78&amp;"")=1,1,0))</f>
        <v/>
      </c>
    </row>
    <row r="79">
      <c r="A79" s="9" t="inlineStr">
        <is>
          <t>ENT-078</t>
        </is>
      </c>
      <c r="B79" s="9" t="inlineStr">
        <is>
          <t>tmaddox</t>
        </is>
      </c>
      <c r="C79" s="9" t="inlineStr">
        <is>
          <t>Employee</t>
        </is>
      </c>
      <c r="D79" s="9" t="inlineStr">
        <is>
          <t>Customer Operations</t>
        </is>
      </c>
      <c r="E79" s="9" t="inlineStr">
        <is>
          <t>Support Engineer</t>
        </is>
      </c>
      <c r="F79" s="9" t="inlineStr">
        <is>
          <t>Jorge Almeida</t>
        </is>
      </c>
      <c r="G79" s="9" t="inlineStr">
        <is>
          <t>Active</t>
        </is>
      </c>
      <c r="H79" s="9" t="inlineStr">
        <is>
          <t>wcp-core-db</t>
        </is>
      </c>
      <c r="I79" s="9" t="inlineStr">
        <is>
          <t>support_readonly (primary)</t>
        </is>
      </c>
      <c r="J79" s="9" t="inlineStr">
        <is>
          <t>N</t>
        </is>
      </c>
      <c r="K79" s="9" t="inlineStr">
        <is>
          <t>Y</t>
        </is>
      </c>
      <c r="L79" s="10" t="n">
        <v>44844</v>
      </c>
      <c r="M79" s="10" t="n">
        <v>46203</v>
      </c>
      <c r="N79" s="11" t="inlineStr">
        <is>
          <t>Tier-2 support troubleshooting</t>
        </is>
      </c>
      <c r="O79" s="9" t="inlineStr">
        <is>
          <t>Tomasz Wierzbicki</t>
        </is>
      </c>
      <c r="P79" s="10" t="n">
        <v>46213</v>
      </c>
      <c r="Q79" s="9" t="inlineStr"/>
      <c r="R79" s="9" t="inlineStr">
        <is>
          <t>Retain</t>
        </is>
      </c>
      <c r="S79" s="9" t="inlineStr"/>
      <c r="T79" s="11" t="inlineStr">
        <is>
          <t>None</t>
        </is>
      </c>
      <c r="U79" s="11" t="inlineStr"/>
      <c r="V79" s="9" t="inlineStr"/>
      <c r="W79" s="10" t="n"/>
      <c r="X79" s="9" t="inlineStr">
        <is>
          <t>Completed</t>
        </is>
      </c>
      <c r="Y79" s="10" t="n">
        <v>46213</v>
      </c>
      <c r="Z79" s="9" t="inlineStr"/>
      <c r="AA79" s="9" t="inlineStr"/>
      <c r="AB79" s="9" t="inlineStr"/>
      <c r="AC79" s="11" t="inlineStr"/>
      <c r="AD79">
        <f>IF(S79="",0,IF(COUNTIF(S$2:S79,S79&amp;"")=1,1,0))</f>
        <v/>
      </c>
    </row>
    <row r="80">
      <c r="A80" s="9" t="inlineStr">
        <is>
          <t>ENT-079</t>
        </is>
      </c>
      <c r="B80" s="9" t="inlineStr">
        <is>
          <t>ebrooks</t>
        </is>
      </c>
      <c r="C80" s="9" t="inlineStr">
        <is>
          <t>Employee</t>
        </is>
      </c>
      <c r="D80" s="9" t="inlineStr">
        <is>
          <t>Customer Operations</t>
        </is>
      </c>
      <c r="E80" s="9" t="inlineStr">
        <is>
          <t>Support Engineer</t>
        </is>
      </c>
      <c r="F80" s="9" t="inlineStr">
        <is>
          <t>Jorge Almeida</t>
        </is>
      </c>
      <c r="G80" s="9" t="inlineStr">
        <is>
          <t>Active</t>
        </is>
      </c>
      <c r="H80" s="9" t="inlineStr">
        <is>
          <t>wcp-core-db</t>
        </is>
      </c>
      <c r="I80" s="9" t="inlineStr">
        <is>
          <t>support_readonly (primary)</t>
        </is>
      </c>
      <c r="J80" s="9" t="inlineStr">
        <is>
          <t>N</t>
        </is>
      </c>
      <c r="K80" s="9" t="inlineStr">
        <is>
          <t>Y</t>
        </is>
      </c>
      <c r="L80" s="10" t="n">
        <v>45440</v>
      </c>
      <c r="M80" s="10" t="n">
        <v>46202</v>
      </c>
      <c r="N80" s="11" t="inlineStr">
        <is>
          <t>Tier-2 support troubleshooting</t>
        </is>
      </c>
      <c r="O80" s="9" t="inlineStr">
        <is>
          <t>Tomasz Wierzbicki</t>
        </is>
      </c>
      <c r="P80" s="10" t="n">
        <v>46213</v>
      </c>
      <c r="Q80" s="9" t="inlineStr"/>
      <c r="R80" s="9" t="inlineStr">
        <is>
          <t>Retain</t>
        </is>
      </c>
      <c r="S80" s="9" t="inlineStr"/>
      <c r="T80" s="11" t="inlineStr">
        <is>
          <t>None</t>
        </is>
      </c>
      <c r="U80" s="11" t="inlineStr"/>
      <c r="V80" s="9" t="inlineStr"/>
      <c r="W80" s="10" t="n"/>
      <c r="X80" s="9" t="inlineStr">
        <is>
          <t>Completed</t>
        </is>
      </c>
      <c r="Y80" s="10" t="n">
        <v>46213</v>
      </c>
      <c r="Z80" s="9" t="inlineStr"/>
      <c r="AA80" s="9" t="inlineStr"/>
      <c r="AB80" s="9" t="inlineStr"/>
      <c r="AC80" s="11" t="inlineStr"/>
      <c r="AD80">
        <f>IF(S80="",0,IF(COUNTIF(S$2:S80,S80&amp;"")=1,1,0))</f>
        <v/>
      </c>
    </row>
    <row r="81">
      <c r="A81" s="9" t="inlineStr">
        <is>
          <t>ENT-080</t>
        </is>
      </c>
      <c r="B81" s="9" t="inlineStr">
        <is>
          <t>awu</t>
        </is>
      </c>
      <c r="C81" s="9" t="inlineStr">
        <is>
          <t>Contractor</t>
        </is>
      </c>
      <c r="D81" s="9" t="inlineStr">
        <is>
          <t>Engineering</t>
        </is>
      </c>
      <c r="E81" s="9" t="inlineStr">
        <is>
          <t>Contract QA Engineer</t>
        </is>
      </c>
      <c r="F81" s="9" t="inlineStr">
        <is>
          <t>Sofia Ricci</t>
        </is>
      </c>
      <c r="G81" s="9" t="inlineStr">
        <is>
          <t>Active</t>
        </is>
      </c>
      <c r="H81" s="9" t="inlineStr">
        <is>
          <t>wcp-core-db</t>
        </is>
      </c>
      <c r="I81" s="9" t="inlineStr">
        <is>
          <t>support_readonly (primary)</t>
        </is>
      </c>
      <c r="J81" s="9" t="inlineStr">
        <is>
          <t>N</t>
        </is>
      </c>
      <c r="K81" s="9" t="inlineStr">
        <is>
          <t>Y</t>
        </is>
      </c>
      <c r="L81" s="10" t="n">
        <v>46027</v>
      </c>
      <c r="M81" s="10" t="n">
        <v>46196</v>
      </c>
      <c r="N81" s="11" t="inlineStr">
        <is>
          <t>QA test data verification</t>
        </is>
      </c>
      <c r="O81" s="9" t="inlineStr">
        <is>
          <t>Tomasz Wierzbicki</t>
        </is>
      </c>
      <c r="P81" s="10" t="n">
        <v>46212</v>
      </c>
      <c r="Q81" s="9" t="inlineStr">
        <is>
          <t>F-BASELINE; F-CONTRACT</t>
        </is>
      </c>
      <c r="R81" s="9" t="inlineStr">
        <is>
          <t>Revoke</t>
        </is>
      </c>
      <c r="S81" s="9" t="inlineStr">
        <is>
          <t>AR-EX-16</t>
        </is>
      </c>
      <c r="T81" s="11" t="inlineStr">
        <is>
          <t>PHI production access not required for the QA role (QA uses staging with synthetic data)</t>
        </is>
      </c>
      <c r="U81" s="11" t="inlineStr">
        <is>
          <t>Revoke</t>
        </is>
      </c>
      <c r="V81" s="9" t="inlineStr">
        <is>
          <t>Tomasz Wierzbicki</t>
        </is>
      </c>
      <c r="W81" s="10" t="n">
        <v>46220</v>
      </c>
      <c r="X81" s="9" t="inlineStr">
        <is>
          <t>Completed</t>
        </is>
      </c>
      <c r="Y81" s="10" t="n">
        <v>46216</v>
      </c>
      <c r="Z81" s="9" t="inlineStr">
        <is>
          <t>EVID-066</t>
        </is>
      </c>
      <c r="AA81" s="9" t="inlineStr">
        <is>
          <t>FIND-006</t>
        </is>
      </c>
      <c r="AB81" s="9" t="inlineStr">
        <is>
          <t>AC-6; PS-7</t>
        </is>
      </c>
      <c r="AC81" s="11" t="inlineStr"/>
      <c r="AD81">
        <f>IF(S81="",0,IF(COUNTIF(S$2:S81,S81&amp;"")=1,1,0))</f>
        <v/>
      </c>
    </row>
    <row r="82">
      <c r="A82" s="9" t="inlineStr">
        <is>
          <t>ENT-081</t>
        </is>
      </c>
      <c r="B82" s="9" t="inlineStr">
        <is>
          <t>Administrator</t>
        </is>
      </c>
      <c r="C82" s="9" t="inlineStr">
        <is>
          <t>Break-glass</t>
        </is>
      </c>
      <c r="D82" s="9" t="inlineStr">
        <is>
          <t>Platform Engineering (owner)</t>
        </is>
      </c>
      <c r="E82" s="9" t="inlineStr">
        <is>
          <t>Local administrator</t>
        </is>
      </c>
      <c r="F82" s="9" t="inlineStr">
        <is>
          <t>Tomasz Wierzbicki (owner)</t>
        </is>
      </c>
      <c r="G82" s="9" t="inlineStr">
        <is>
          <t>n/a (non-human)</t>
        </is>
      </c>
      <c r="H82" s="9" t="inlineStr">
        <is>
          <t>wf-sftp-01</t>
        </is>
      </c>
      <c r="I82" s="9" t="inlineStr">
        <is>
          <t>Local Administrator</t>
        </is>
      </c>
      <c r="J82" s="9" t="inlineStr">
        <is>
          <t>Y</t>
        </is>
      </c>
      <c r="K82" s="9" t="inlineStr">
        <is>
          <t>Y</t>
        </is>
      </c>
      <c r="L82" s="10" t="n">
        <v>43619</v>
      </c>
      <c r="M82" s="10" t="n">
        <v>46175</v>
      </c>
      <c r="N82" s="11" t="inlineStr">
        <is>
          <t>Local admin; password vaulted; access via SSM only</t>
        </is>
      </c>
      <c r="O82" s="9" t="inlineStr">
        <is>
          <t>Tomasz Wierzbicki</t>
        </is>
      </c>
      <c r="P82" s="10" t="n">
        <v>46213</v>
      </c>
      <c r="Q82" s="9" t="inlineStr"/>
      <c r="R82" s="9" t="inlineStr">
        <is>
          <t>Retain</t>
        </is>
      </c>
      <c r="S82" s="9" t="inlineStr"/>
      <c r="T82" s="11" t="inlineStr">
        <is>
          <t>None</t>
        </is>
      </c>
      <c r="U82" s="11" t="inlineStr"/>
      <c r="V82" s="9" t="inlineStr"/>
      <c r="W82" s="10" t="n"/>
      <c r="X82" s="9" t="inlineStr">
        <is>
          <t>Completed</t>
        </is>
      </c>
      <c r="Y82" s="10" t="n">
        <v>46213</v>
      </c>
      <c r="Z82" s="9" t="inlineStr"/>
      <c r="AA82" s="9" t="inlineStr"/>
      <c r="AB82" s="9" t="inlineStr"/>
      <c r="AC82" s="11" t="inlineStr"/>
      <c r="AD82">
        <f>IF(S82="",0,IF(COUNTIF(S$2:S82,S82&amp;"")=1,1,0))</f>
        <v/>
      </c>
    </row>
    <row r="83">
      <c r="A83" s="9" t="inlineStr">
        <is>
          <t>ENT-082</t>
        </is>
      </c>
      <c r="B83" s="9" t="inlineStr">
        <is>
          <t>svc-quarrystone-sftp</t>
        </is>
      </c>
      <c r="C83" s="9" t="inlineStr">
        <is>
          <t>Service</t>
        </is>
      </c>
      <c r="D83" s="9" t="inlineStr"/>
      <c r="E83" s="9" t="inlineStr">
        <is>
          <t>SFTP push of nightly extract to Quarrystone</t>
        </is>
      </c>
      <c r="F83" s="9" t="inlineStr">
        <is>
          <t>UNDOCUMENTED</t>
        </is>
      </c>
      <c r="G83" s="9" t="inlineStr">
        <is>
          <t>n/a (non-human)</t>
        </is>
      </c>
      <c r="H83" s="9" t="inlineStr">
        <is>
          <t>wf-sftp-01</t>
        </is>
      </c>
      <c r="I83" s="9" t="inlineStr">
        <is>
          <t>SFTP push (Quarrystone extract)</t>
        </is>
      </c>
      <c r="J83" s="9" t="inlineStr">
        <is>
          <t>N</t>
        </is>
      </c>
      <c r="K83" s="9" t="inlineStr">
        <is>
          <t>Y</t>
        </is>
      </c>
      <c r="L83" s="10" t="n">
        <v>44986</v>
      </c>
      <c r="M83" s="10" t="n">
        <v>46203</v>
      </c>
      <c r="N83" s="11" t="inlineStr">
        <is>
          <t>Nightly extract transfer</t>
        </is>
      </c>
      <c r="O83" s="9" t="inlineStr">
        <is>
          <t>Tomasz Wierzbicki</t>
        </is>
      </c>
      <c r="P83" s="10" t="n">
        <v>46212</v>
      </c>
      <c r="Q83" s="9" t="inlineStr">
        <is>
          <t>F-SVC-OWNER; F-SVC-ROTATION</t>
        </is>
      </c>
      <c r="R83" s="9" t="inlineStr">
        <is>
          <t>Modify</t>
        </is>
      </c>
      <c r="S83" s="9" t="inlineStr">
        <is>
          <t>AR-EX-18</t>
        </is>
      </c>
      <c r="T83" s="11" t="inlineStr">
        <is>
          <t>Service account has no documented owner; SSH key not rotated in over 365 days</t>
        </is>
      </c>
      <c r="U83" s="11" t="inlineStr">
        <is>
          <t>Assign owner (Liam Porter); rotate key; retire with SFTP migration (POAM-011)</t>
        </is>
      </c>
      <c r="V83" s="9" t="inlineStr">
        <is>
          <t>Liam Porter</t>
        </is>
      </c>
      <c r="W83" s="10" t="n">
        <v>46262</v>
      </c>
      <c r="X83" s="9" t="inlineStr">
        <is>
          <t>Completed</t>
        </is>
      </c>
      <c r="Y83" s="10" t="n">
        <v>46259</v>
      </c>
      <c r="Z83" s="9" t="inlineStr">
        <is>
          <t>EVID-065</t>
        </is>
      </c>
      <c r="AA83" s="9" t="inlineStr">
        <is>
          <t>FIND-005</t>
        </is>
      </c>
      <c r="AB83" s="9" t="inlineStr">
        <is>
          <t>IA-5; AC-2</t>
        </is>
      </c>
      <c r="AC83" s="11" t="inlineStr"/>
      <c r="AD83">
        <f>IF(S83="",0,IF(COUNTIF(S$2:S83,S83&amp;"")=1,1,0))</f>
        <v/>
      </c>
    </row>
    <row r="84">
      <c r="A84" s="9" t="inlineStr">
        <is>
          <t>ENT-083</t>
        </is>
      </c>
      <c r="B84" s="9" t="inlineStr">
        <is>
          <t>cust-lakemont-drop</t>
        </is>
      </c>
      <c r="C84" s="9" t="inlineStr">
        <is>
          <t>Service</t>
        </is>
      </c>
      <c r="D84" s="9" t="inlineStr">
        <is>
          <t>Customer Operations (owner)</t>
        </is>
      </c>
      <c r="E84" s="9" t="inlineStr">
        <is>
          <t>Customer file exchange (Lakemont)</t>
        </is>
      </c>
      <c r="F84" s="9" t="inlineStr">
        <is>
          <t>Tanya Maddox (owner)</t>
        </is>
      </c>
      <c r="G84" s="9" t="inlineStr">
        <is>
          <t>n/a (non-human)</t>
        </is>
      </c>
      <c r="H84" s="9" t="inlineStr">
        <is>
          <t>wf-sftp-01</t>
        </is>
      </c>
      <c r="I84" s="9" t="inlineStr">
        <is>
          <t>SFTP customer drop (Lakemont)</t>
        </is>
      </c>
      <c r="J84" s="9" t="inlineStr">
        <is>
          <t>N</t>
        </is>
      </c>
      <c r="K84" s="9" t="inlineStr">
        <is>
          <t>Y</t>
        </is>
      </c>
      <c r="L84" s="10" t="n">
        <v>44669</v>
      </c>
      <c r="M84" s="10" t="n">
        <v>46201</v>
      </c>
      <c r="N84" s="11" t="inlineStr">
        <is>
          <t>Customer file exchange</t>
        </is>
      </c>
      <c r="O84" s="9" t="inlineStr">
        <is>
          <t>Tomasz Wierzbicki</t>
        </is>
      </c>
      <c r="P84" s="10" t="n">
        <v>46213</v>
      </c>
      <c r="Q84" s="9" t="inlineStr"/>
      <c r="R84" s="9" t="inlineStr">
        <is>
          <t>Retain</t>
        </is>
      </c>
      <c r="S84" s="9" t="inlineStr"/>
      <c r="T84" s="11" t="inlineStr">
        <is>
          <t>None</t>
        </is>
      </c>
      <c r="U84" s="11" t="inlineStr"/>
      <c r="V84" s="9" t="inlineStr"/>
      <c r="W84" s="10" t="n"/>
      <c r="X84" s="9" t="inlineStr">
        <is>
          <t>Completed</t>
        </is>
      </c>
      <c r="Y84" s="10" t="n">
        <v>46213</v>
      </c>
      <c r="Z84" s="9" t="inlineStr"/>
      <c r="AA84" s="9" t="inlineStr"/>
      <c r="AB84" s="9" t="inlineStr"/>
      <c r="AC84" s="11" t="inlineStr"/>
      <c r="AD84">
        <f>IF(S84="",0,IF(COUNTIF(S$2:S84,S84&amp;"")=1,1,0))</f>
        <v/>
      </c>
    </row>
    <row r="85">
      <c r="A85" s="9" t="inlineStr">
        <is>
          <t>ENT-084</t>
        </is>
      </c>
      <c r="B85" s="9" t="inlineStr">
        <is>
          <t>dyamamoto</t>
        </is>
      </c>
      <c r="C85" s="9" t="inlineStr">
        <is>
          <t>Employee</t>
        </is>
      </c>
      <c r="D85" s="9" t="inlineStr">
        <is>
          <t>People</t>
        </is>
      </c>
      <c r="E85" s="9" t="inlineStr">
        <is>
          <t>Director of People</t>
        </is>
      </c>
      <c r="F85" s="9" t="inlineStr">
        <is>
          <t>Elena Marsh</t>
        </is>
      </c>
      <c r="G85" s="9" t="inlineStr">
        <is>
          <t>Active</t>
        </is>
      </c>
      <c r="H85" s="9" t="inlineStr">
        <is>
          <t>PeopleHub</t>
        </is>
      </c>
      <c r="I85" s="9" t="inlineStr">
        <is>
          <t>HR Administrator</t>
        </is>
      </c>
      <c r="J85" s="9" t="inlineStr">
        <is>
          <t>Y</t>
        </is>
      </c>
      <c r="K85" s="9" t="inlineStr">
        <is>
          <t>N</t>
        </is>
      </c>
      <c r="L85" s="10" t="n">
        <v>43892</v>
      </c>
      <c r="M85" s="10" t="n">
        <v>46203</v>
      </c>
      <c r="N85" s="11" t="inlineStr">
        <is>
          <t>Director of People</t>
        </is>
      </c>
      <c r="O85" s="9" t="inlineStr">
        <is>
          <t>Elena Marsh</t>
        </is>
      </c>
      <c r="P85" s="10" t="n">
        <v>46213</v>
      </c>
      <c r="Q85" s="9" t="inlineStr"/>
      <c r="R85" s="9" t="inlineStr">
        <is>
          <t>Retain</t>
        </is>
      </c>
      <c r="S85" s="9" t="inlineStr"/>
      <c r="T85" s="11" t="inlineStr">
        <is>
          <t>None</t>
        </is>
      </c>
      <c r="U85" s="11" t="inlineStr"/>
      <c r="V85" s="9" t="inlineStr"/>
      <c r="W85" s="10" t="n"/>
      <c r="X85" s="9" t="inlineStr">
        <is>
          <t>Completed</t>
        </is>
      </c>
      <c r="Y85" s="10" t="n">
        <v>46213</v>
      </c>
      <c r="Z85" s="9" t="inlineStr"/>
      <c r="AA85" s="9" t="inlineStr"/>
      <c r="AB85" s="9" t="inlineStr"/>
      <c r="AC85" s="11" t="inlineStr"/>
      <c r="AD85">
        <f>IF(S85="",0,IF(COUNTIF(S$2:S85,S85&amp;"")=1,1,0))</f>
        <v/>
      </c>
    </row>
    <row r="86">
      <c r="A86" s="9" t="inlineStr">
        <is>
          <t>ENT-085</t>
        </is>
      </c>
      <c r="B86" s="9" t="inlineStr">
        <is>
          <t>svc-hris-sync</t>
        </is>
      </c>
      <c r="C86" s="9" t="inlineStr">
        <is>
          <t>Service</t>
        </is>
      </c>
      <c r="D86" s="9" t="inlineStr">
        <is>
          <t>Security (owner)</t>
        </is>
      </c>
      <c r="E86" s="9" t="inlineStr">
        <is>
          <t>HRIS-to-Okta attribute sync</t>
        </is>
      </c>
      <c r="F86" s="9" t="inlineStr">
        <is>
          <t>Nadia Rahman (owner)</t>
        </is>
      </c>
      <c r="G86" s="9" t="inlineStr">
        <is>
          <t>n/a (non-human)</t>
        </is>
      </c>
      <c r="H86" s="9" t="inlineStr">
        <is>
          <t>PeopleHub</t>
        </is>
      </c>
      <c r="I86" s="9" t="inlineStr">
        <is>
          <t>API integration (read worker records)</t>
        </is>
      </c>
      <c r="J86" s="9" t="inlineStr">
        <is>
          <t>N</t>
        </is>
      </c>
      <c r="K86" s="9" t="inlineStr">
        <is>
          <t>N</t>
        </is>
      </c>
      <c r="L86" s="10" t="n">
        <v>45078</v>
      </c>
      <c r="M86" s="10" t="n">
        <v>46203</v>
      </c>
      <c r="N86" s="11" t="inlineStr">
        <is>
          <t>HRIS-to-Okta attribute sync</t>
        </is>
      </c>
      <c r="O86" s="9" t="inlineStr">
        <is>
          <t>Denise Yamamoto</t>
        </is>
      </c>
      <c r="P86" s="10" t="n">
        <v>46213</v>
      </c>
      <c r="Q86" s="9" t="inlineStr"/>
      <c r="R86" s="9" t="inlineStr">
        <is>
          <t>Retain</t>
        </is>
      </c>
      <c r="S86" s="9" t="inlineStr"/>
      <c r="T86" s="11" t="inlineStr">
        <is>
          <t>None</t>
        </is>
      </c>
      <c r="U86" s="11" t="inlineStr"/>
      <c r="V86" s="9" t="inlineStr"/>
      <c r="W86" s="10" t="n"/>
      <c r="X86" s="9" t="inlineStr">
        <is>
          <t>Completed</t>
        </is>
      </c>
      <c r="Y86" s="10" t="n">
        <v>46213</v>
      </c>
      <c r="Z86" s="9" t="inlineStr"/>
      <c r="AA86" s="9" t="inlineStr"/>
      <c r="AB86" s="9" t="inlineStr"/>
      <c r="AC86" s="11" t="inlineStr"/>
      <c r="AD86">
        <f>IF(S86="",0,IF(COUNTIF(S$2:S86,S86&amp;"")=1,1,0))</f>
        <v/>
      </c>
    </row>
    <row r="87">
      <c r="A87" s="9" t="inlineStr">
        <is>
          <t>ENT-086</t>
        </is>
      </c>
      <c r="B87" s="9" t="inlineStr">
        <is>
          <t>lbrenneman</t>
        </is>
      </c>
      <c r="C87" s="9" t="inlineStr">
        <is>
          <t>Employee</t>
        </is>
      </c>
      <c r="D87" s="9" t="inlineStr">
        <is>
          <t>Finance</t>
        </is>
      </c>
      <c r="E87" s="9" t="inlineStr">
        <is>
          <t>Controller</t>
        </is>
      </c>
      <c r="F87" s="9" t="inlineStr">
        <is>
          <t>Raymond Okafor</t>
        </is>
      </c>
      <c r="G87" s="9" t="inlineStr">
        <is>
          <t>Active</t>
        </is>
      </c>
      <c r="H87" s="9" t="inlineStr">
        <is>
          <t>Ledgerline</t>
        </is>
      </c>
      <c r="I87" s="9" t="inlineStr">
        <is>
          <t>Controller</t>
        </is>
      </c>
      <c r="J87" s="9" t="inlineStr">
        <is>
          <t>Y</t>
        </is>
      </c>
      <c r="K87" s="9" t="inlineStr">
        <is>
          <t>N</t>
        </is>
      </c>
      <c r="L87" s="10" t="n">
        <v>44480</v>
      </c>
      <c r="M87" s="10" t="n">
        <v>46203</v>
      </c>
      <c r="N87" s="11" t="inlineStr">
        <is>
          <t>Controller</t>
        </is>
      </c>
      <c r="O87" s="9" t="inlineStr">
        <is>
          <t>Raymond Okafor</t>
        </is>
      </c>
      <c r="P87" s="10" t="n">
        <v>46213</v>
      </c>
      <c r="Q87" s="9" t="inlineStr"/>
      <c r="R87" s="9" t="inlineStr">
        <is>
          <t>Retain</t>
        </is>
      </c>
      <c r="S87" s="9" t="inlineStr"/>
      <c r="T87" s="11" t="inlineStr">
        <is>
          <t>None</t>
        </is>
      </c>
      <c r="U87" s="11" t="inlineStr"/>
      <c r="V87" s="9" t="inlineStr"/>
      <c r="W87" s="10" t="n"/>
      <c r="X87" s="9" t="inlineStr">
        <is>
          <t>Completed</t>
        </is>
      </c>
      <c r="Y87" s="10" t="n">
        <v>46213</v>
      </c>
      <c r="Z87" s="9" t="inlineStr"/>
      <c r="AA87" s="9" t="inlineStr"/>
      <c r="AB87" s="9" t="inlineStr"/>
      <c r="AC87" s="11" t="inlineStr"/>
      <c r="AD87">
        <f>IF(S87="",0,IF(COUNTIF(S$2:S87,S87&amp;"")=1,1,0))</f>
        <v/>
      </c>
    </row>
    <row r="88">
      <c r="A88" s="9" t="inlineStr">
        <is>
          <t>ENT-087</t>
        </is>
      </c>
      <c r="B88" s="9" t="inlineStr">
        <is>
          <t>rokafor</t>
        </is>
      </c>
      <c r="C88" s="9" t="inlineStr">
        <is>
          <t>Employee</t>
        </is>
      </c>
      <c r="D88" s="9" t="inlineStr">
        <is>
          <t>Finance</t>
        </is>
      </c>
      <c r="E88" s="9" t="inlineStr">
        <is>
          <t>Chief Financial Officer</t>
        </is>
      </c>
      <c r="F88" s="9" t="inlineStr">
        <is>
          <t>Elena Marsh</t>
        </is>
      </c>
      <c r="G88" s="9" t="inlineStr">
        <is>
          <t>Active</t>
        </is>
      </c>
      <c r="H88" s="9" t="inlineStr">
        <is>
          <t>Ledgerline</t>
        </is>
      </c>
      <c r="I88" s="9" t="inlineStr">
        <is>
          <t>Payment Approver (&gt; $25k)</t>
        </is>
      </c>
      <c r="J88" s="9" t="inlineStr">
        <is>
          <t>Y</t>
        </is>
      </c>
      <c r="K88" s="9" t="inlineStr">
        <is>
          <t>N</t>
        </is>
      </c>
      <c r="L88" s="10" t="n">
        <v>43843</v>
      </c>
      <c r="M88" s="10" t="n">
        <v>46199</v>
      </c>
      <c r="N88" s="11" t="inlineStr">
        <is>
          <t>CFO approval authority</t>
        </is>
      </c>
      <c r="O88" s="9" t="inlineStr">
        <is>
          <t>Elena Marsh</t>
        </is>
      </c>
      <c r="P88" s="10" t="n">
        <v>46213</v>
      </c>
      <c r="Q88" s="9" t="inlineStr"/>
      <c r="R88" s="9" t="inlineStr">
        <is>
          <t>Retain</t>
        </is>
      </c>
      <c r="S88" s="9" t="inlineStr"/>
      <c r="T88" s="11" t="inlineStr">
        <is>
          <t>None</t>
        </is>
      </c>
      <c r="U88" s="11" t="inlineStr"/>
      <c r="V88" s="9" t="inlineStr"/>
      <c r="W88" s="10" t="n"/>
      <c r="X88" s="9" t="inlineStr">
        <is>
          <t>Completed</t>
        </is>
      </c>
      <c r="Y88" s="10" t="n">
        <v>46213</v>
      </c>
      <c r="Z88" s="9" t="inlineStr"/>
      <c r="AA88" s="9" t="inlineStr"/>
      <c r="AB88" s="9" t="inlineStr"/>
      <c r="AC88" s="11" t="inlineStr"/>
      <c r="AD88">
        <f>IF(S88="",0,IF(COUNTIF(S$2:S88,S88&amp;"")=1,1,0))</f>
        <v/>
      </c>
    </row>
    <row r="89">
      <c r="A89" s="9" t="inlineStr">
        <is>
          <t>ENT-088</t>
        </is>
      </c>
      <c r="B89" s="9" t="inlineStr">
        <is>
          <t>jmercer</t>
        </is>
      </c>
      <c r="C89" s="9" t="inlineStr">
        <is>
          <t>Employee</t>
        </is>
      </c>
      <c r="D89" s="9" t="inlineStr">
        <is>
          <t>Finance</t>
        </is>
      </c>
      <c r="E89" s="9" t="inlineStr">
        <is>
          <t>Senior Accountant</t>
        </is>
      </c>
      <c r="F89" s="9" t="inlineStr">
        <is>
          <t>Laura Brenneman</t>
        </is>
      </c>
      <c r="G89" s="9" t="inlineStr">
        <is>
          <t>Active</t>
        </is>
      </c>
      <c r="H89" s="9" t="inlineStr">
        <is>
          <t>Ledgerline</t>
        </is>
      </c>
      <c r="I89" s="9" t="inlineStr">
        <is>
          <t>Vendor Master Maintain</t>
        </is>
      </c>
      <c r="J89" s="9" t="inlineStr">
        <is>
          <t>Y</t>
        </is>
      </c>
      <c r="K89" s="9" t="inlineStr">
        <is>
          <t>N</t>
        </is>
      </c>
      <c r="L89" s="10" t="n">
        <v>44963</v>
      </c>
      <c r="M89" s="10" t="n">
        <v>46197</v>
      </c>
      <c r="N89" s="11" t="inlineStr">
        <is>
          <t>Vendor onboarding backlog</t>
        </is>
      </c>
      <c r="O89" s="9" t="inlineStr">
        <is>
          <t>Laura Brenneman</t>
        </is>
      </c>
      <c r="P89" s="10" t="n">
        <v>46213</v>
      </c>
      <c r="Q89" s="9" t="inlineStr">
        <is>
          <t>F-SOD</t>
        </is>
      </c>
      <c r="R89" s="9" t="inlineStr">
        <is>
          <t>Retain with exception</t>
        </is>
      </c>
      <c r="S89" s="9" t="inlineStr">
        <is>
          <t>AR-EX-17</t>
        </is>
      </c>
      <c r="T89" s="11" t="inlineStr">
        <is>
          <t>SoD conflict SOD-01: Vendor Master Maintain + Payment Approver (&lt;= $25k)</t>
        </is>
      </c>
      <c r="U89" s="11" t="inlineStr">
        <is>
          <t>Formal risk acceptance with compensating monthly vendor-master change review by the Controller; redesign roles when the AP role is backfilled</t>
        </is>
      </c>
      <c r="V89" s="9" t="inlineStr">
        <is>
          <t>Laura Brenneman</t>
        </is>
      </c>
      <c r="W89" s="10" t="n">
        <v>46248</v>
      </c>
      <c r="X89" s="9" t="inlineStr">
        <is>
          <t>Risk Accepted</t>
        </is>
      </c>
      <c r="Y89" s="10" t="n">
        <v>46246</v>
      </c>
      <c r="Z89" s="9" t="inlineStr">
        <is>
          <t>EVID-060; EVID-015</t>
        </is>
      </c>
      <c r="AA89" s="9" t="inlineStr">
        <is>
          <t>FIND-007</t>
        </is>
      </c>
      <c r="AB89" s="9" t="inlineStr">
        <is>
          <t>AC-5</t>
        </is>
      </c>
      <c r="AC89" s="11" t="inlineStr">
        <is>
          <t>Three-person finance team after AP departure; see RACC-001</t>
        </is>
      </c>
      <c r="AD89">
        <f>IF(S89="",0,IF(COUNTIF(S$2:S89,S89&amp;"")=1,1,0))</f>
        <v/>
      </c>
    </row>
    <row r="90">
      <c r="A90" s="9" t="inlineStr">
        <is>
          <t>ENT-089</t>
        </is>
      </c>
      <c r="B90" s="9" t="inlineStr">
        <is>
          <t>jmercer</t>
        </is>
      </c>
      <c r="C90" s="9" t="inlineStr">
        <is>
          <t>Employee</t>
        </is>
      </c>
      <c r="D90" s="9" t="inlineStr">
        <is>
          <t>Finance</t>
        </is>
      </c>
      <c r="E90" s="9" t="inlineStr">
        <is>
          <t>Senior Accountant</t>
        </is>
      </c>
      <c r="F90" s="9" t="inlineStr">
        <is>
          <t>Laura Brenneman</t>
        </is>
      </c>
      <c r="G90" s="9" t="inlineStr">
        <is>
          <t>Active</t>
        </is>
      </c>
      <c r="H90" s="9" t="inlineStr">
        <is>
          <t>Ledgerline</t>
        </is>
      </c>
      <c r="I90" s="9" t="inlineStr">
        <is>
          <t>Payment Approver (&lt;= $25k)</t>
        </is>
      </c>
      <c r="J90" s="9" t="inlineStr">
        <is>
          <t>Y</t>
        </is>
      </c>
      <c r="K90" s="9" t="inlineStr">
        <is>
          <t>N</t>
        </is>
      </c>
      <c r="L90" s="10" t="n">
        <v>44802</v>
      </c>
      <c r="M90" s="10" t="n">
        <v>46203</v>
      </c>
      <c r="N90" s="11" t="inlineStr">
        <is>
          <t>Payment approvals</t>
        </is>
      </c>
      <c r="O90" s="9" t="inlineStr">
        <is>
          <t>Laura Brenneman</t>
        </is>
      </c>
      <c r="P90" s="10" t="n">
        <v>46213</v>
      </c>
      <c r="Q90" s="9" t="inlineStr">
        <is>
          <t>F-SOD</t>
        </is>
      </c>
      <c r="R90" s="9" t="inlineStr">
        <is>
          <t>Retain with exception</t>
        </is>
      </c>
      <c r="S90" s="9" t="inlineStr">
        <is>
          <t>AR-EX-17</t>
        </is>
      </c>
      <c r="T90" s="11" t="inlineStr">
        <is>
          <t>SoD conflict SOD-01 (paired entitlement)</t>
        </is>
      </c>
      <c r="U90" s="11" t="inlineStr">
        <is>
          <t>See ENT-088</t>
        </is>
      </c>
      <c r="V90" s="9" t="inlineStr">
        <is>
          <t>Laura Brenneman</t>
        </is>
      </c>
      <c r="W90" s="10" t="n">
        <v>46248</v>
      </c>
      <c r="X90" s="9" t="inlineStr">
        <is>
          <t>Risk Accepted</t>
        </is>
      </c>
      <c r="Y90" s="10" t="n">
        <v>46246</v>
      </c>
      <c r="Z90" s="9" t="inlineStr">
        <is>
          <t>EVID-060; EVID-015</t>
        </is>
      </c>
      <c r="AA90" s="9" t="inlineStr">
        <is>
          <t>FIND-007</t>
        </is>
      </c>
      <c r="AB90" s="9" t="inlineStr">
        <is>
          <t>AC-5</t>
        </is>
      </c>
      <c r="AC90" s="11" t="inlineStr"/>
      <c r="AD90">
        <f>IF(S90="",0,IF(COUNTIF(S$2:S90,S90&amp;"")=1,1,0))</f>
        <v/>
      </c>
    </row>
    <row r="91">
      <c r="A91" s="9" t="inlineStr">
        <is>
          <t>ENT-090</t>
        </is>
      </c>
      <c r="B91" s="9" t="inlineStr">
        <is>
          <t>dwhitlock</t>
        </is>
      </c>
      <c r="C91" s="9" t="inlineStr">
        <is>
          <t>Employee</t>
        </is>
      </c>
      <c r="D91" s="9" t="inlineStr">
        <is>
          <t>Finance</t>
        </is>
      </c>
      <c r="E91" s="9" t="inlineStr">
        <is>
          <t>AP Specialist</t>
        </is>
      </c>
      <c r="F91" s="9" t="inlineStr">
        <is>
          <t>Laura Brenneman</t>
        </is>
      </c>
      <c r="G91" s="9" t="inlineStr">
        <is>
          <t>Terminated</t>
        </is>
      </c>
      <c r="H91" s="9" t="inlineStr">
        <is>
          <t>Ledgerline</t>
        </is>
      </c>
      <c r="I91" s="9" t="inlineStr">
        <is>
          <t>AP Clerk</t>
        </is>
      </c>
      <c r="J91" s="9" t="inlineStr">
        <is>
          <t>N</t>
        </is>
      </c>
      <c r="K91" s="9" t="inlineStr">
        <is>
          <t>N</t>
        </is>
      </c>
      <c r="L91" s="10" t="n">
        <v>45040</v>
      </c>
      <c r="M91" s="10" t="n">
        <v>46163</v>
      </c>
      <c r="N91" s="11" t="inlineStr">
        <is>
          <t>Invoice entry and payment runs</t>
        </is>
      </c>
      <c r="O91" s="9" t="inlineStr">
        <is>
          <t>Laura Brenneman</t>
        </is>
      </c>
      <c r="P91" s="10" t="n">
        <v>46209</v>
      </c>
      <c r="Q91" s="9" t="inlineStr">
        <is>
          <t>F-TERM</t>
        </is>
      </c>
      <c r="R91" s="9" t="inlineStr">
        <is>
          <t>Revoke</t>
        </is>
      </c>
      <c r="S91" s="9" t="inlineStr">
        <is>
          <t>AR-EX-01</t>
        </is>
      </c>
      <c r="T91" s="11" t="inlineStr">
        <is>
          <t>Terminated employee (2026-05-22) retains Ledgerline AP Clerk role</t>
        </is>
      </c>
      <c r="U91" s="11" t="inlineStr">
        <is>
          <t>Remove Ledgerline role; confirm no transactions after termination</t>
        </is>
      </c>
      <c r="V91" s="9" t="inlineStr">
        <is>
          <t>Laura Brenneman</t>
        </is>
      </c>
      <c r="W91" s="10" t="n">
        <v>46210</v>
      </c>
      <c r="X91" s="9" t="inlineStr">
        <is>
          <t>Completed</t>
        </is>
      </c>
      <c r="Y91" s="10" t="n">
        <v>46209</v>
      </c>
      <c r="Z91" s="9" t="inlineStr">
        <is>
          <t>EVID-061</t>
        </is>
      </c>
      <c r="AA91" s="9" t="inlineStr">
        <is>
          <t>FIND-001</t>
        </is>
      </c>
      <c r="AB91" s="9" t="inlineStr">
        <is>
          <t>AC-2(3); PS-4</t>
        </is>
      </c>
      <c r="AC91" s="11" t="inlineStr">
        <is>
          <t>No Ledgerline transactions after 2026-05-21 (Controller verified)</t>
        </is>
      </c>
      <c r="AD91">
        <f>IF(S91="",0,IF(COUNTIF(S$2:S91,S91&amp;"")=1,1,0))</f>
        <v/>
      </c>
    </row>
    <row r="92">
      <c r="A92" s="9" t="inlineStr">
        <is>
          <t>ENT-091</t>
        </is>
      </c>
      <c r="B92" s="9" t="inlineStr">
        <is>
          <t>kbrandt</t>
        </is>
      </c>
      <c r="C92" s="9" t="inlineStr">
        <is>
          <t>Employee</t>
        </is>
      </c>
      <c r="D92" s="9" t="inlineStr">
        <is>
          <t>IT</t>
        </is>
      </c>
      <c r="E92" s="9" t="inlineStr">
        <is>
          <t>IT Manager</t>
        </is>
      </c>
      <c r="F92" s="9" t="inlineStr">
        <is>
          <t>Samir Haddad</t>
        </is>
      </c>
      <c r="G92" s="9" t="inlineStr">
        <is>
          <t>Active</t>
        </is>
      </c>
      <c r="H92" s="9" t="inlineStr">
        <is>
          <t>Ledgerline</t>
        </is>
      </c>
      <c r="I92" s="9" t="inlineStr">
        <is>
          <t>System Administrator (no transactional roles)</t>
        </is>
      </c>
      <c r="J92" s="9" t="inlineStr">
        <is>
          <t>Y</t>
        </is>
      </c>
      <c r="K92" s="9" t="inlineStr">
        <is>
          <t>N</t>
        </is>
      </c>
      <c r="L92" s="10" t="n">
        <v>44470</v>
      </c>
      <c r="M92" s="10" t="n">
        <v>46181</v>
      </c>
      <c r="N92" s="11" t="inlineStr">
        <is>
          <t>System configuration</t>
        </is>
      </c>
      <c r="O92" s="9" t="inlineStr">
        <is>
          <t>Laura Brenneman</t>
        </is>
      </c>
      <c r="P92" s="10" t="n">
        <v>46213</v>
      </c>
      <c r="Q92" s="9" t="inlineStr"/>
      <c r="R92" s="9" t="inlineStr">
        <is>
          <t>Retain</t>
        </is>
      </c>
      <c r="S92" s="9" t="inlineStr"/>
      <c r="T92" s="11" t="inlineStr">
        <is>
          <t>None</t>
        </is>
      </c>
      <c r="U92" s="11" t="inlineStr"/>
      <c r="V92" s="9" t="inlineStr"/>
      <c r="W92" s="10" t="n"/>
      <c r="X92" s="9" t="inlineStr">
        <is>
          <t>Completed</t>
        </is>
      </c>
      <c r="Y92" s="10" t="n">
        <v>46213</v>
      </c>
      <c r="Z92" s="9" t="inlineStr"/>
      <c r="AA92" s="9" t="inlineStr"/>
      <c r="AB92" s="9" t="inlineStr"/>
      <c r="AC92" s="11" t="inlineStr"/>
      <c r="AD92">
        <f>IF(S92="",0,IF(COUNTIF(S$2:S92,S92&amp;"")=1,1,0))</f>
        <v/>
      </c>
    </row>
    <row r="93">
      <c r="A93" s="9" t="inlineStr">
        <is>
          <t>ENT-092</t>
        </is>
      </c>
      <c r="B93" s="9" t="inlineStr">
        <is>
          <t>bkowalski</t>
        </is>
      </c>
      <c r="C93" s="9" t="inlineStr">
        <is>
          <t>Employee</t>
        </is>
      </c>
      <c r="D93" s="9" t="inlineStr">
        <is>
          <t>Finance</t>
        </is>
      </c>
      <c r="E93" s="9" t="inlineStr">
        <is>
          <t>Vendor Management Lead</t>
        </is>
      </c>
      <c r="F93" s="9" t="inlineStr">
        <is>
          <t>Raymond Okafor</t>
        </is>
      </c>
      <c r="G93" s="9" t="inlineStr">
        <is>
          <t>Active</t>
        </is>
      </c>
      <c r="H93" s="9" t="inlineStr">
        <is>
          <t>Ledgerline</t>
        </is>
      </c>
      <c r="I93" s="9" t="inlineStr">
        <is>
          <t>Vendor Master View</t>
        </is>
      </c>
      <c r="J93" s="9" t="inlineStr">
        <is>
          <t>N</t>
        </is>
      </c>
      <c r="K93" s="9" t="inlineStr">
        <is>
          <t>N</t>
        </is>
      </c>
      <c r="L93" s="10" t="n">
        <v>45187</v>
      </c>
      <c r="M93" s="10" t="n">
        <v>46202</v>
      </c>
      <c r="N93" s="11" t="inlineStr">
        <is>
          <t>Vendor due diligence</t>
        </is>
      </c>
      <c r="O93" s="9" t="inlineStr">
        <is>
          <t>Laura Brenneman</t>
        </is>
      </c>
      <c r="P93" s="10" t="n">
        <v>46213</v>
      </c>
      <c r="Q93" s="9" t="inlineStr"/>
      <c r="R93" s="9" t="inlineStr">
        <is>
          <t>Retain</t>
        </is>
      </c>
      <c r="S93" s="9" t="inlineStr"/>
      <c r="T93" s="11" t="inlineStr">
        <is>
          <t>None</t>
        </is>
      </c>
      <c r="U93" s="11" t="inlineStr"/>
      <c r="V93" s="9" t="inlineStr"/>
      <c r="W93" s="10" t="n"/>
      <c r="X93" s="9" t="inlineStr">
        <is>
          <t>Completed</t>
        </is>
      </c>
      <c r="Y93" s="10" t="n">
        <v>46213</v>
      </c>
      <c r="Z93" s="9" t="inlineStr"/>
      <c r="AA93" s="9" t="inlineStr"/>
      <c r="AB93" s="9" t="inlineStr"/>
      <c r="AC93" s="11" t="inlineStr"/>
      <c r="AD93">
        <f>IF(S93="",0,IF(COUNTIF(S$2:S93,S93&amp;"")=1,1,0))</f>
        <v/>
      </c>
    </row>
    <row r="94">
      <c r="A94" s="9" t="inlineStr">
        <is>
          <t>ENT-093</t>
        </is>
      </c>
      <c r="B94" s="9" t="inlineStr">
        <is>
          <t>ocastillo</t>
        </is>
      </c>
      <c r="C94" s="9" t="inlineStr">
        <is>
          <t>Employee</t>
        </is>
      </c>
      <c r="D94" s="9" t="inlineStr">
        <is>
          <t>Security</t>
        </is>
      </c>
      <c r="E94" s="9" t="inlineStr">
        <is>
          <t>Security Engineer</t>
        </is>
      </c>
      <c r="F94" s="9" t="inlineStr">
        <is>
          <t>Alicia Moreno</t>
        </is>
      </c>
      <c r="G94" s="9" t="inlineStr">
        <is>
          <t>Active</t>
        </is>
      </c>
      <c r="H94" s="9" t="inlineStr">
        <is>
          <t>Security tooling (SIEM)</t>
        </is>
      </c>
      <c r="I94" s="9" t="inlineStr">
        <is>
          <t>SIEM Administrator</t>
        </is>
      </c>
      <c r="J94" s="9" t="inlineStr">
        <is>
          <t>Y</t>
        </is>
      </c>
      <c r="K94" s="9" t="inlineStr">
        <is>
          <t>N</t>
        </is>
      </c>
      <c r="L94" s="10" t="n">
        <v>44816</v>
      </c>
      <c r="M94" s="10" t="n">
        <v>46203</v>
      </c>
      <c r="N94" s="11" t="inlineStr">
        <is>
          <t>SIEM owner</t>
        </is>
      </c>
      <c r="O94" s="9" t="inlineStr">
        <is>
          <t>Alicia Moreno</t>
        </is>
      </c>
      <c r="P94" s="10" t="n">
        <v>46213</v>
      </c>
      <c r="Q94" s="9" t="inlineStr"/>
      <c r="R94" s="9" t="inlineStr">
        <is>
          <t>Retain</t>
        </is>
      </c>
      <c r="S94" s="9" t="inlineStr"/>
      <c r="T94" s="11" t="inlineStr">
        <is>
          <t>None</t>
        </is>
      </c>
      <c r="U94" s="11" t="inlineStr"/>
      <c r="V94" s="9" t="inlineStr"/>
      <c r="W94" s="10" t="n"/>
      <c r="X94" s="9" t="inlineStr">
        <is>
          <t>Completed</t>
        </is>
      </c>
      <c r="Y94" s="10" t="n">
        <v>46213</v>
      </c>
      <c r="Z94" s="9" t="inlineStr"/>
      <c r="AA94" s="9" t="inlineStr"/>
      <c r="AB94" s="9" t="inlineStr"/>
      <c r="AC94" s="11" t="inlineStr"/>
      <c r="AD94">
        <f>IF(S94="",0,IF(COUNTIF(S$2:S94,S94&amp;"")=1,1,0))</f>
        <v/>
      </c>
    </row>
    <row r="95">
      <c r="A95" s="9" t="inlineStr">
        <is>
          <t>ENT-094</t>
        </is>
      </c>
      <c r="B95" s="9" t="inlineStr">
        <is>
          <t>nrahman</t>
        </is>
      </c>
      <c r="C95" s="9" t="inlineStr">
        <is>
          <t>Employee</t>
        </is>
      </c>
      <c r="D95" s="9" t="inlineStr">
        <is>
          <t>Security</t>
        </is>
      </c>
      <c r="E95" s="9" t="inlineStr">
        <is>
          <t>IAM Engineer</t>
        </is>
      </c>
      <c r="F95" s="9" t="inlineStr">
        <is>
          <t>Alicia Moreno</t>
        </is>
      </c>
      <c r="G95" s="9" t="inlineStr">
        <is>
          <t>Active</t>
        </is>
      </c>
      <c r="H95" s="9" t="inlineStr">
        <is>
          <t>Security tooling (SIEM)</t>
        </is>
      </c>
      <c r="I95" s="9" t="inlineStr">
        <is>
          <t>SIEM Analyst</t>
        </is>
      </c>
      <c r="J95" s="9" t="inlineStr">
        <is>
          <t>N</t>
        </is>
      </c>
      <c r="K95" s="9" t="inlineStr">
        <is>
          <t>N</t>
        </is>
      </c>
      <c r="L95" s="10" t="n">
        <v>44713</v>
      </c>
      <c r="M95" s="10" t="n">
        <v>46203</v>
      </c>
      <c r="N95" s="11" t="inlineStr">
        <is>
          <t>Identity threat investigations</t>
        </is>
      </c>
      <c r="O95" s="9" t="inlineStr">
        <is>
          <t>Alicia Moreno</t>
        </is>
      </c>
      <c r="P95" s="10" t="n">
        <v>46213</v>
      </c>
      <c r="Q95" s="9" t="inlineStr"/>
      <c r="R95" s="9" t="inlineStr">
        <is>
          <t>Retain</t>
        </is>
      </c>
      <c r="S95" s="9" t="inlineStr"/>
      <c r="T95" s="11" t="inlineStr">
        <is>
          <t>None</t>
        </is>
      </c>
      <c r="U95" s="11" t="inlineStr"/>
      <c r="V95" s="9" t="inlineStr"/>
      <c r="W95" s="10" t="n"/>
      <c r="X95" s="9" t="inlineStr">
        <is>
          <t>Completed</t>
        </is>
      </c>
      <c r="Y95" s="10" t="n">
        <v>46213</v>
      </c>
      <c r="Z95" s="9" t="inlineStr"/>
      <c r="AA95" s="9" t="inlineStr"/>
      <c r="AB95" s="9" t="inlineStr"/>
      <c r="AC95" s="11" t="inlineStr"/>
      <c r="AD95">
        <f>IF(S95="",0,IF(COUNTIF(S$2:S95,S95&amp;"")=1,1,0))</f>
        <v/>
      </c>
    </row>
    <row r="96">
      <c r="A96" s="9" t="inlineStr">
        <is>
          <t>ENT-095</t>
        </is>
      </c>
      <c r="B96" s="9" t="inlineStr">
        <is>
          <t>amoreno</t>
        </is>
      </c>
      <c r="C96" s="9" t="inlineStr">
        <is>
          <t>Employee</t>
        </is>
      </c>
      <c r="D96" s="9" t="inlineStr">
        <is>
          <t>Security</t>
        </is>
      </c>
      <c r="E96" s="9" t="inlineStr">
        <is>
          <t>Chief Information Security Officer</t>
        </is>
      </c>
      <c r="F96" s="9" t="inlineStr">
        <is>
          <t>Samir Haddad</t>
        </is>
      </c>
      <c r="G96" s="9" t="inlineStr">
        <is>
          <t>Active</t>
        </is>
      </c>
      <c r="H96" s="9" t="inlineStr">
        <is>
          <t>Security tooling (SIEM)</t>
        </is>
      </c>
      <c r="I96" s="9" t="inlineStr">
        <is>
          <t>SIEM Read-only</t>
        </is>
      </c>
      <c r="J96" s="9" t="inlineStr">
        <is>
          <t>N</t>
        </is>
      </c>
      <c r="K96" s="9" t="inlineStr">
        <is>
          <t>N</t>
        </is>
      </c>
      <c r="L96" s="10" t="n">
        <v>44263</v>
      </c>
      <c r="M96" s="10" t="n">
        <v>46195</v>
      </c>
      <c r="N96" s="11" t="inlineStr">
        <is>
          <t>Oversight</t>
        </is>
      </c>
      <c r="O96" s="9" t="inlineStr">
        <is>
          <t>Samir Haddad</t>
        </is>
      </c>
      <c r="P96" s="10" t="n">
        <v>46213</v>
      </c>
      <c r="Q96" s="9" t="inlineStr"/>
      <c r="R96" s="9" t="inlineStr">
        <is>
          <t>Retain</t>
        </is>
      </c>
      <c r="S96" s="9" t="inlineStr"/>
      <c r="T96" s="11" t="inlineStr">
        <is>
          <t>None</t>
        </is>
      </c>
      <c r="U96" s="11" t="inlineStr"/>
      <c r="V96" s="9" t="inlineStr"/>
      <c r="W96" s="10" t="n"/>
      <c r="X96" s="9" t="inlineStr">
        <is>
          <t>Completed</t>
        </is>
      </c>
      <c r="Y96" s="10" t="n">
        <v>46213</v>
      </c>
      <c r="Z96" s="9" t="inlineStr"/>
      <c r="AA96" s="9" t="inlineStr"/>
      <c r="AB96" s="9" t="inlineStr"/>
      <c r="AC96" s="11" t="inlineStr"/>
      <c r="AD96">
        <f>IF(S96="",0,IF(COUNTIF(S$2:S96,S96&amp;"")=1,1,0))</f>
        <v/>
      </c>
    </row>
    <row r="97">
      <c r="A97" s="9" t="inlineStr">
        <is>
          <t>ENT-096</t>
        </is>
      </c>
      <c r="B97" s="9" t="inlineStr">
        <is>
          <t>mdr-ironpeak</t>
        </is>
      </c>
      <c r="C97" s="9" t="inlineStr">
        <is>
          <t>Vendor group (named SSO)</t>
        </is>
      </c>
      <c r="D97" s="9" t="inlineStr"/>
      <c r="E97" s="9" t="inlineStr">
        <is>
          <t>Vendor / non-human</t>
        </is>
      </c>
      <c r="F97" s="9" t="inlineStr"/>
      <c r="G97" s="9" t="inlineStr">
        <is>
          <t>n/a (non-human)</t>
        </is>
      </c>
      <c r="H97" s="9" t="inlineStr">
        <is>
          <t>Security tooling (SIEM)</t>
        </is>
      </c>
      <c r="I97" s="9" t="inlineStr">
        <is>
          <t>SIEM Analyst (6 named MDR analysts via SAML)</t>
        </is>
      </c>
      <c r="J97" s="9" t="inlineStr">
        <is>
          <t>N</t>
        </is>
      </c>
      <c r="K97" s="9" t="inlineStr">
        <is>
          <t>N</t>
        </is>
      </c>
      <c r="L97" s="10" t="n">
        <v>45663</v>
      </c>
      <c r="M97" s="10" t="n">
        <v>46203</v>
      </c>
      <c r="N97" s="11" t="inlineStr">
        <is>
          <t>24x7 MDR monitoring (Ironpeak MSA 2025)</t>
        </is>
      </c>
      <c r="O97" s="9" t="inlineStr">
        <is>
          <t>Alicia Moreno</t>
        </is>
      </c>
      <c r="P97" s="10" t="n">
        <v>46210</v>
      </c>
      <c r="Q97" s="9" t="inlineStr"/>
      <c r="R97" s="9" t="inlineStr">
        <is>
          <t>Retain</t>
        </is>
      </c>
      <c r="S97" s="9" t="inlineStr"/>
      <c r="T97" s="11" t="inlineStr">
        <is>
          <t>None</t>
        </is>
      </c>
      <c r="U97" s="11" t="inlineStr"/>
      <c r="V97" s="9" t="inlineStr"/>
      <c r="W97" s="10" t="n"/>
      <c r="X97" s="9" t="inlineStr">
        <is>
          <t>Completed</t>
        </is>
      </c>
      <c r="Y97" s="10" t="n">
        <v>46210</v>
      </c>
      <c r="Z97" s="9" t="inlineStr"/>
      <c r="AA97" s="9" t="inlineStr"/>
      <c r="AB97" s="9" t="inlineStr"/>
      <c r="AC97" s="11" t="inlineStr">
        <is>
          <t>Named federated MDR accounts (compare the shared EDR login ENT-099)</t>
        </is>
      </c>
      <c r="AD97">
        <f>IF(S97="",0,IF(COUNTIF(S$2:S97,S97&amp;"")=1,1,0))</f>
        <v/>
      </c>
    </row>
    <row r="98">
      <c r="A98" s="9" t="inlineStr">
        <is>
          <t>ENT-097</t>
        </is>
      </c>
      <c r="B98" s="9" t="inlineStr">
        <is>
          <t>ocastillo</t>
        </is>
      </c>
      <c r="C98" s="9" t="inlineStr">
        <is>
          <t>Employee</t>
        </is>
      </c>
      <c r="D98" s="9" t="inlineStr">
        <is>
          <t>Security</t>
        </is>
      </c>
      <c r="E98" s="9" t="inlineStr">
        <is>
          <t>Security Engineer</t>
        </is>
      </c>
      <c r="F98" s="9" t="inlineStr">
        <is>
          <t>Alicia Moreno</t>
        </is>
      </c>
      <c r="G98" s="9" t="inlineStr">
        <is>
          <t>Active</t>
        </is>
      </c>
      <c r="H98" s="9" t="inlineStr">
        <is>
          <t>Security tooling (EDR)</t>
        </is>
      </c>
      <c r="I98" s="9" t="inlineStr">
        <is>
          <t>EDR Administrator</t>
        </is>
      </c>
      <c r="J98" s="9" t="inlineStr">
        <is>
          <t>Y</t>
        </is>
      </c>
      <c r="K98" s="9" t="inlineStr">
        <is>
          <t>N</t>
        </is>
      </c>
      <c r="L98" s="10" t="n">
        <v>44816</v>
      </c>
      <c r="M98" s="10" t="n">
        <v>46203</v>
      </c>
      <c r="N98" s="11" t="inlineStr">
        <is>
          <t>EDR owner</t>
        </is>
      </c>
      <c r="O98" s="9" t="inlineStr">
        <is>
          <t>Alicia Moreno</t>
        </is>
      </c>
      <c r="P98" s="10" t="n">
        <v>46213</v>
      </c>
      <c r="Q98" s="9" t="inlineStr"/>
      <c r="R98" s="9" t="inlineStr">
        <is>
          <t>Retain</t>
        </is>
      </c>
      <c r="S98" s="9" t="inlineStr"/>
      <c r="T98" s="11" t="inlineStr">
        <is>
          <t>None</t>
        </is>
      </c>
      <c r="U98" s="11" t="inlineStr"/>
      <c r="V98" s="9" t="inlineStr"/>
      <c r="W98" s="10" t="n"/>
      <c r="X98" s="9" t="inlineStr">
        <is>
          <t>Completed</t>
        </is>
      </c>
      <c r="Y98" s="10" t="n">
        <v>46213</v>
      </c>
      <c r="Z98" s="9" t="inlineStr"/>
      <c r="AA98" s="9" t="inlineStr"/>
      <c r="AB98" s="9" t="inlineStr"/>
      <c r="AC98" s="11" t="inlineStr"/>
      <c r="AD98">
        <f>IF(S98="",0,IF(COUNTIF(S$2:S98,S98&amp;"")=1,1,0))</f>
        <v/>
      </c>
    </row>
    <row r="99">
      <c r="A99" s="9" t="inlineStr">
        <is>
          <t>ENT-098</t>
        </is>
      </c>
      <c r="B99" s="9" t="inlineStr">
        <is>
          <t>kbrandt</t>
        </is>
      </c>
      <c r="C99" s="9" t="inlineStr">
        <is>
          <t>Employee</t>
        </is>
      </c>
      <c r="D99" s="9" t="inlineStr">
        <is>
          <t>IT</t>
        </is>
      </c>
      <c r="E99" s="9" t="inlineStr">
        <is>
          <t>IT Manager</t>
        </is>
      </c>
      <c r="F99" s="9" t="inlineStr">
        <is>
          <t>Samir Haddad</t>
        </is>
      </c>
      <c r="G99" s="9" t="inlineStr">
        <is>
          <t>Active</t>
        </is>
      </c>
      <c r="H99" s="9" t="inlineStr">
        <is>
          <t>Security tooling (EDR)</t>
        </is>
      </c>
      <c r="I99" s="9" t="inlineStr">
        <is>
          <t>EDR Administrator</t>
        </is>
      </c>
      <c r="J99" s="9" t="inlineStr">
        <is>
          <t>Y</t>
        </is>
      </c>
      <c r="K99" s="9" t="inlineStr">
        <is>
          <t>N</t>
        </is>
      </c>
      <c r="L99" s="10" t="n">
        <v>44228</v>
      </c>
      <c r="M99" s="10" t="n">
        <v>46202</v>
      </c>
      <c r="N99" s="11" t="inlineStr">
        <is>
          <t>Endpoint policy management</t>
        </is>
      </c>
      <c r="O99" s="9" t="inlineStr">
        <is>
          <t>Alicia Moreno</t>
        </is>
      </c>
      <c r="P99" s="10" t="n">
        <v>46213</v>
      </c>
      <c r="Q99" s="9" t="inlineStr"/>
      <c r="R99" s="9" t="inlineStr">
        <is>
          <t>Retain</t>
        </is>
      </c>
      <c r="S99" s="9" t="inlineStr"/>
      <c r="T99" s="11" t="inlineStr">
        <is>
          <t>None</t>
        </is>
      </c>
      <c r="U99" s="11" t="inlineStr"/>
      <c r="V99" s="9" t="inlineStr"/>
      <c r="W99" s="10" t="n"/>
      <c r="X99" s="9" t="inlineStr">
        <is>
          <t>Completed</t>
        </is>
      </c>
      <c r="Y99" s="10" t="n">
        <v>46213</v>
      </c>
      <c r="Z99" s="9" t="inlineStr"/>
      <c r="AA99" s="9" t="inlineStr"/>
      <c r="AB99" s="9" t="inlineStr"/>
      <c r="AC99" s="11" t="inlineStr"/>
      <c r="AD99">
        <f>IF(S99="",0,IF(COUNTIF(S$2:S99,S99&amp;"")=1,1,0))</f>
        <v/>
      </c>
    </row>
    <row r="100">
      <c r="A100" s="9" t="inlineStr">
        <is>
          <t>ENT-099</t>
        </is>
      </c>
      <c r="B100" s="9" t="inlineStr">
        <is>
          <t>ironpeak-soc</t>
        </is>
      </c>
      <c r="C100" s="9" t="inlineStr">
        <is>
          <t>Shared</t>
        </is>
      </c>
      <c r="D100" s="9" t="inlineStr">
        <is>
          <t>Security (owner)</t>
        </is>
      </c>
      <c r="E100" s="9" t="inlineStr">
        <is>
          <t>MDR analyst containment actions</t>
        </is>
      </c>
      <c r="F100" s="9" t="inlineStr">
        <is>
          <t>Owen Castillo (owner)</t>
        </is>
      </c>
      <c r="G100" s="9" t="inlineStr">
        <is>
          <t>n/a (non-human)</t>
        </is>
      </c>
      <c r="H100" s="9" t="inlineStr">
        <is>
          <t>Security tooling (EDR)</t>
        </is>
      </c>
      <c r="I100" s="9" t="inlineStr">
        <is>
          <t>EDR Analyst (shared vendor login)</t>
        </is>
      </c>
      <c r="J100" s="9" t="inlineStr">
        <is>
          <t>Y</t>
        </is>
      </c>
      <c r="K100" s="9" t="inlineStr">
        <is>
          <t>N</t>
        </is>
      </c>
      <c r="L100" s="10" t="n">
        <v>45663</v>
      </c>
      <c r="M100" s="10" t="n">
        <v>46203</v>
      </c>
      <c r="N100" s="11" t="inlineStr">
        <is>
          <t>MDR containment actions</t>
        </is>
      </c>
      <c r="O100" s="9" t="inlineStr">
        <is>
          <t>Alicia Moreno</t>
        </is>
      </c>
      <c r="P100" s="10" t="n">
        <v>46210</v>
      </c>
      <c r="Q100" s="9" t="inlineStr">
        <is>
          <t>F-SHARED</t>
        </is>
      </c>
      <c r="R100" s="9" t="inlineStr">
        <is>
          <t>Modify</t>
        </is>
      </c>
      <c r="S100" s="9" t="inlineStr">
        <is>
          <t>AR-EX-20</t>
        </is>
      </c>
      <c r="T100" s="11" t="inlineStr">
        <is>
          <t>Shared vendor login to EDR console; containment actions not attributable to an individual</t>
        </is>
      </c>
      <c r="U100" s="11" t="inlineStr">
        <is>
          <t>Replace with named federated accounts for each MDR analyst; disable the shared login</t>
        </is>
      </c>
      <c r="V100" s="9" t="inlineStr">
        <is>
          <t>Owen Castillo</t>
        </is>
      </c>
      <c r="W100" s="10" t="n">
        <v>46269</v>
      </c>
      <c r="X100" s="9" t="inlineStr">
        <is>
          <t>Completed</t>
        </is>
      </c>
      <c r="Y100" s="10" t="n">
        <v>46265</v>
      </c>
      <c r="Z100" s="9" t="inlineStr">
        <is>
          <t>EVID-065</t>
        </is>
      </c>
      <c r="AA100" s="9" t="inlineStr">
        <is>
          <t>FIND-005</t>
        </is>
      </c>
      <c r="AB100" s="9" t="inlineStr">
        <is>
          <t>AC-2; IA-2</t>
        </is>
      </c>
      <c r="AC100" s="11" t="inlineStr">
        <is>
          <t>Contrast ENT-096: the same vendor already uses named SSO accounts in the SIEM</t>
        </is>
      </c>
      <c r="AD100">
        <f>IF(S100="",0,IF(COUNTIF(S$2:S100,S100&amp;"")=1,1,0))</f>
        <v/>
      </c>
    </row>
    <row r="101">
      <c r="A101" s="9" t="inlineStr">
        <is>
          <t>ENT-100</t>
        </is>
      </c>
      <c r="B101" s="9" t="inlineStr">
        <is>
          <t>lporter</t>
        </is>
      </c>
      <c r="C101" s="9" t="inlineStr">
        <is>
          <t>Employee</t>
        </is>
      </c>
      <c r="D101" s="9" t="inlineStr">
        <is>
          <t>Data Engineering</t>
        </is>
      </c>
      <c r="E101" s="9" t="inlineStr">
        <is>
          <t>Data Engineering Manager</t>
        </is>
      </c>
      <c r="F101" s="9" t="inlineStr">
        <is>
          <t>Samir Haddad</t>
        </is>
      </c>
      <c r="G101" s="9" t="inlineStr">
        <is>
          <t>Active</t>
        </is>
      </c>
      <c r="H101" s="9" t="inlineStr">
        <is>
          <t>Quarrystone portal</t>
        </is>
      </c>
      <c r="I101" s="9" t="inlineStr">
        <is>
          <t>Portal Administrator</t>
        </is>
      </c>
      <c r="J101" s="9" t="inlineStr">
        <is>
          <t>Y</t>
        </is>
      </c>
      <c r="K101" s="9" t="inlineStr">
        <is>
          <t>Y</t>
        </is>
      </c>
      <c r="L101" s="10" t="n">
        <v>44986</v>
      </c>
      <c r="M101" s="10" t="n">
        <v>46199</v>
      </c>
      <c r="N101" s="11" t="inlineStr">
        <is>
          <t>Vendor relationship technical owner</t>
        </is>
      </c>
      <c r="O101" s="9" t="inlineStr">
        <is>
          <t>Miriam Castell</t>
        </is>
      </c>
      <c r="P101" s="10" t="n">
        <v>46213</v>
      </c>
      <c r="Q101" s="9" t="inlineStr"/>
      <c r="R101" s="9" t="inlineStr">
        <is>
          <t>Retain</t>
        </is>
      </c>
      <c r="S101" s="9" t="inlineStr"/>
      <c r="T101" s="11" t="inlineStr">
        <is>
          <t>None</t>
        </is>
      </c>
      <c r="U101" s="11" t="inlineStr"/>
      <c r="V101" s="9" t="inlineStr"/>
      <c r="W101" s="10" t="n"/>
      <c r="X101" s="9" t="inlineStr">
        <is>
          <t>Completed</t>
        </is>
      </c>
      <c r="Y101" s="10" t="n">
        <v>46213</v>
      </c>
      <c r="Z101" s="9" t="inlineStr"/>
      <c r="AA101" s="9" t="inlineStr"/>
      <c r="AB101" s="9" t="inlineStr"/>
      <c r="AC101" s="11" t="inlineStr"/>
      <c r="AD101">
        <f>IF(S101="",0,IF(COUNTIF(S$2:S101,S101&amp;"")=1,1,0))</f>
        <v/>
      </c>
    </row>
    <row r="102">
      <c r="A102" s="9" t="inlineStr">
        <is>
          <t>ENT-101</t>
        </is>
      </c>
      <c r="B102" s="9" t="inlineStr">
        <is>
          <t>mcastell</t>
        </is>
      </c>
      <c r="C102" s="9" t="inlineStr">
        <is>
          <t>Employee</t>
        </is>
      </c>
      <c r="D102" s="9" t="inlineStr">
        <is>
          <t>Clinical Analytics</t>
        </is>
      </c>
      <c r="E102" s="9" t="inlineStr">
        <is>
          <t>VP Clinical Analytics</t>
        </is>
      </c>
      <c r="F102" s="9" t="inlineStr">
        <is>
          <t>Elena Marsh</t>
        </is>
      </c>
      <c r="G102" s="9" t="inlineStr">
        <is>
          <t>Active</t>
        </is>
      </c>
      <c r="H102" s="9" t="inlineStr">
        <is>
          <t>Quarrystone portal</t>
        </is>
      </c>
      <c r="I102" s="9" t="inlineStr">
        <is>
          <t>Viewer</t>
        </is>
      </c>
      <c r="J102" s="9" t="inlineStr">
        <is>
          <t>N</t>
        </is>
      </c>
      <c r="K102" s="9" t="inlineStr">
        <is>
          <t>Y</t>
        </is>
      </c>
      <c r="L102" s="10" t="n">
        <v>44986</v>
      </c>
      <c r="M102" s="10" t="n">
        <v>46183</v>
      </c>
      <c r="N102" s="11" t="inlineStr">
        <is>
          <t>Business owner dashboards</t>
        </is>
      </c>
      <c r="O102" s="9" t="inlineStr">
        <is>
          <t>Elena Marsh</t>
        </is>
      </c>
      <c r="P102" s="10" t="n">
        <v>46213</v>
      </c>
      <c r="Q102" s="9" t="inlineStr"/>
      <c r="R102" s="9" t="inlineStr">
        <is>
          <t>Retain</t>
        </is>
      </c>
      <c r="S102" s="9" t="inlineStr"/>
      <c r="T102" s="11" t="inlineStr">
        <is>
          <t>None</t>
        </is>
      </c>
      <c r="U102" s="11" t="inlineStr"/>
      <c r="V102" s="9" t="inlineStr"/>
      <c r="W102" s="10" t="n"/>
      <c r="X102" s="9" t="inlineStr">
        <is>
          <t>Completed</t>
        </is>
      </c>
      <c r="Y102" s="10" t="n">
        <v>46213</v>
      </c>
      <c r="Z102" s="9" t="inlineStr"/>
      <c r="AA102" s="9" t="inlineStr"/>
      <c r="AB102" s="9" t="inlineStr"/>
      <c r="AC102" s="11" t="inlineStr"/>
      <c r="AD102">
        <f>IF(S102="",0,IF(COUNTIF(S$2:S102,S102&amp;"")=1,1,0))</f>
        <v/>
      </c>
    </row>
    <row r="103">
      <c r="A103" s="9" t="inlineStr">
        <is>
          <t>ENT-102</t>
        </is>
      </c>
      <c r="B103" s="9" t="inlineStr">
        <is>
          <t>bnguyen</t>
        </is>
      </c>
      <c r="C103" s="9" t="inlineStr">
        <is>
          <t>Employee</t>
        </is>
      </c>
      <c r="D103" s="9" t="inlineStr">
        <is>
          <t>Data Engineering</t>
        </is>
      </c>
      <c r="E103" s="9" t="inlineStr">
        <is>
          <t>Data Engineer</t>
        </is>
      </c>
      <c r="F103" s="9" t="inlineStr">
        <is>
          <t>Liam Porter</t>
        </is>
      </c>
      <c r="G103" s="9" t="inlineStr">
        <is>
          <t>Active</t>
        </is>
      </c>
      <c r="H103" s="9" t="inlineStr">
        <is>
          <t>Quarrystone portal</t>
        </is>
      </c>
      <c r="I103" s="9" t="inlineStr">
        <is>
          <t>Analyst</t>
        </is>
      </c>
      <c r="J103" s="9" t="inlineStr">
        <is>
          <t>N</t>
        </is>
      </c>
      <c r="K103" s="9" t="inlineStr">
        <is>
          <t>Y</t>
        </is>
      </c>
      <c r="L103" s="10" t="n">
        <v>45028</v>
      </c>
      <c r="M103" s="10" t="n">
        <v>46197</v>
      </c>
      <c r="N103" s="11" t="inlineStr">
        <is>
          <t>Score validation</t>
        </is>
      </c>
      <c r="O103" s="9" t="inlineStr">
        <is>
          <t>Miriam Castell</t>
        </is>
      </c>
      <c r="P103" s="10" t="n">
        <v>46213</v>
      </c>
      <c r="Q103" s="9" t="inlineStr"/>
      <c r="R103" s="9" t="inlineStr">
        <is>
          <t>Retain</t>
        </is>
      </c>
      <c r="S103" s="9" t="inlineStr"/>
      <c r="T103" s="11" t="inlineStr">
        <is>
          <t>None</t>
        </is>
      </c>
      <c r="U103" s="11" t="inlineStr"/>
      <c r="V103" s="9" t="inlineStr"/>
      <c r="W103" s="10" t="n"/>
      <c r="X103" s="9" t="inlineStr">
        <is>
          <t>Completed</t>
        </is>
      </c>
      <c r="Y103" s="10" t="n">
        <v>46213</v>
      </c>
      <c r="Z103" s="9" t="inlineStr"/>
      <c r="AA103" s="9" t="inlineStr"/>
      <c r="AB103" s="9" t="inlineStr"/>
      <c r="AC103" s="11" t="inlineStr"/>
      <c r="AD103">
        <f>IF(S103="",0,IF(COUNTIF(S$2:S103,S103&amp;"")=1,1,0))</f>
        <v/>
      </c>
    </row>
    <row r="104">
      <c r="A104" s="9" t="inlineStr">
        <is>
          <t>ENT-103</t>
        </is>
      </c>
      <c r="B104" s="9" t="inlineStr">
        <is>
          <t>gholloway</t>
        </is>
      </c>
      <c r="C104" s="9" t="inlineStr">
        <is>
          <t>Employee</t>
        </is>
      </c>
      <c r="D104" s="9" t="inlineStr">
        <is>
          <t>Clinical Analytics</t>
        </is>
      </c>
      <c r="E104" s="9" t="inlineStr">
        <is>
          <t>Clinical Analytics Manager</t>
        </is>
      </c>
      <c r="F104" s="9" t="inlineStr">
        <is>
          <t>Miriam Castell</t>
        </is>
      </c>
      <c r="G104" s="9" t="inlineStr">
        <is>
          <t>Active</t>
        </is>
      </c>
      <c r="H104" s="9" t="inlineStr">
        <is>
          <t>Quarrystone portal</t>
        </is>
      </c>
      <c r="I104" s="9" t="inlineStr">
        <is>
          <t>Analyst</t>
        </is>
      </c>
      <c r="J104" s="9" t="inlineStr">
        <is>
          <t>N</t>
        </is>
      </c>
      <c r="K104" s="9" t="inlineStr">
        <is>
          <t>Y</t>
        </is>
      </c>
      <c r="L104" s="10" t="n">
        <v>44986</v>
      </c>
      <c r="M104" s="10" t="n">
        <v>46203</v>
      </c>
      <c r="N104" s="11" t="inlineStr">
        <is>
          <t>Care-gap analysis</t>
        </is>
      </c>
      <c r="O104" s="9" t="inlineStr">
        <is>
          <t>Miriam Castell</t>
        </is>
      </c>
      <c r="P104" s="10" t="n">
        <v>46213</v>
      </c>
      <c r="Q104" s="9" t="inlineStr"/>
      <c r="R104" s="9" t="inlineStr">
        <is>
          <t>Retain</t>
        </is>
      </c>
      <c r="S104" s="9" t="inlineStr"/>
      <c r="T104" s="11" t="inlineStr">
        <is>
          <t>None</t>
        </is>
      </c>
      <c r="U104" s="11" t="inlineStr"/>
      <c r="V104" s="9" t="inlineStr"/>
      <c r="W104" s="10" t="n"/>
      <c r="X104" s="9" t="inlineStr">
        <is>
          <t>Completed</t>
        </is>
      </c>
      <c r="Y104" s="10" t="n">
        <v>46213</v>
      </c>
      <c r="Z104" s="9" t="inlineStr"/>
      <c r="AA104" s="9" t="inlineStr"/>
      <c r="AB104" s="9" t="inlineStr"/>
      <c r="AC104" s="11" t="inlineStr"/>
      <c r="AD104">
        <f>IF(S104="",0,IF(COUNTIF(S$2:S104,S104&amp;"")=1,1,0))</f>
        <v/>
      </c>
    </row>
    <row r="105">
      <c r="A105" s="9" t="inlineStr">
        <is>
          <t>ENT-104</t>
        </is>
      </c>
      <c r="B105" s="9" t="inlineStr">
        <is>
          <t>rdiaz</t>
        </is>
      </c>
      <c r="C105" s="9" t="inlineStr">
        <is>
          <t>Employee</t>
        </is>
      </c>
      <c r="D105" s="9" t="inlineStr">
        <is>
          <t>Clinical Analytics</t>
        </is>
      </c>
      <c r="E105" s="9" t="inlineStr">
        <is>
          <t>Care Quality Analyst</t>
        </is>
      </c>
      <c r="F105" s="9" t="inlineStr">
        <is>
          <t>Greg Holloway</t>
        </is>
      </c>
      <c r="G105" s="9" t="inlineStr">
        <is>
          <t>Active</t>
        </is>
      </c>
      <c r="H105" s="9" t="inlineStr">
        <is>
          <t>Quarrystone portal</t>
        </is>
      </c>
      <c r="I105" s="9" t="inlineStr">
        <is>
          <t>Analyst</t>
        </is>
      </c>
      <c r="J105" s="9" t="inlineStr">
        <is>
          <t>N</t>
        </is>
      </c>
      <c r="K105" s="9" t="inlineStr">
        <is>
          <t>Y</t>
        </is>
      </c>
      <c r="L105" s="10" t="n">
        <v>44970</v>
      </c>
      <c r="M105" s="10" t="n">
        <v>46202</v>
      </c>
      <c r="N105" s="11" t="inlineStr">
        <is>
          <t>Care-gap analysis</t>
        </is>
      </c>
      <c r="O105" s="9" t="inlineStr">
        <is>
          <t>Miriam Castell</t>
        </is>
      </c>
      <c r="P105" s="10" t="n">
        <v>46213</v>
      </c>
      <c r="Q105" s="9" t="inlineStr"/>
      <c r="R105" s="9" t="inlineStr">
        <is>
          <t>Retain</t>
        </is>
      </c>
      <c r="S105" s="9" t="inlineStr"/>
      <c r="T105" s="11" t="inlineStr">
        <is>
          <t>None</t>
        </is>
      </c>
      <c r="U105" s="11" t="inlineStr"/>
      <c r="V105" s="9" t="inlineStr"/>
      <c r="W105" s="10" t="n"/>
      <c r="X105" s="9" t="inlineStr">
        <is>
          <t>Completed</t>
        </is>
      </c>
      <c r="Y105" s="10" t="n">
        <v>46213</v>
      </c>
      <c r="Z105" s="9" t="inlineStr"/>
      <c r="AA105" s="9" t="inlineStr"/>
      <c r="AB105" s="9" t="inlineStr"/>
      <c r="AC105" s="11" t="inlineStr"/>
      <c r="AD105">
        <f>IF(S105="",0,IF(COUNTIF(S$2:S105,S105&amp;"")=1,1,0))</f>
        <v/>
      </c>
    </row>
    <row r="106">
      <c r="A106" s="9" t="inlineStr">
        <is>
          <t>ENT-105</t>
        </is>
      </c>
      <c r="B106" s="9" t="inlineStr">
        <is>
          <t>pbrennan</t>
        </is>
      </c>
      <c r="C106" s="9" t="inlineStr">
        <is>
          <t>Employee</t>
        </is>
      </c>
      <c r="D106" s="9" t="inlineStr">
        <is>
          <t>Clinical Analytics</t>
        </is>
      </c>
      <c r="E106" s="9" t="inlineStr">
        <is>
          <t>Care Quality Analyst</t>
        </is>
      </c>
      <c r="F106" s="9" t="inlineStr">
        <is>
          <t>Greg Holloway</t>
        </is>
      </c>
      <c r="G106" s="9" t="inlineStr">
        <is>
          <t>Terminated</t>
        </is>
      </c>
      <c r="H106" s="9" t="inlineStr">
        <is>
          <t>Quarrystone portal</t>
        </is>
      </c>
      <c r="I106" s="9" t="inlineStr">
        <is>
          <t>Analyst</t>
        </is>
      </c>
      <c r="J106" s="9" t="inlineStr">
        <is>
          <t>N</t>
        </is>
      </c>
      <c r="K106" s="9" t="inlineStr">
        <is>
          <t>Y</t>
        </is>
      </c>
      <c r="L106" s="10" t="n">
        <v>44593</v>
      </c>
      <c r="M106" s="10" t="n">
        <v>45971</v>
      </c>
      <c r="N106" s="11" t="inlineStr">
        <is>
          <t>Care-gap analysis</t>
        </is>
      </c>
      <c r="O106" s="9" t="inlineStr">
        <is>
          <t>Miriam Castell</t>
        </is>
      </c>
      <c r="P106" s="10" t="n">
        <v>46211</v>
      </c>
      <c r="Q106" s="9" t="inlineStr">
        <is>
          <t>F-INACTIVE; F-TERM</t>
        </is>
      </c>
      <c r="R106" s="9" t="inlineStr">
        <is>
          <t>Revoke</t>
        </is>
      </c>
      <c r="S106" s="9" t="inlineStr">
        <is>
          <t>AR-EX-04</t>
        </is>
      </c>
      <c r="T106" s="11" t="inlineStr">
        <is>
          <t>Former employee (terminated 2025-11-14) retains Quarrystone portal account (local auth; not federated to Okta)</t>
        </is>
      </c>
      <c r="U106" s="11" t="inlineStr">
        <is>
          <t>Deactivate portal account; add portal to JML checklist; request SAML SSO from vendor</t>
        </is>
      </c>
      <c r="V106" s="9" t="inlineStr">
        <is>
          <t>Liam Porter</t>
        </is>
      </c>
      <c r="W106" s="10" t="n">
        <v>46213</v>
      </c>
      <c r="X106" s="9" t="inlineStr">
        <is>
          <t>Completed</t>
        </is>
      </c>
      <c r="Y106" s="10" t="n">
        <v>46212</v>
      </c>
      <c r="Z106" s="9" t="inlineStr">
        <is>
          <t>EVID-061</t>
        </is>
      </c>
      <c r="AA106" s="9" t="inlineStr">
        <is>
          <t>FIND-001</t>
        </is>
      </c>
      <c r="AB106" s="9" t="inlineStr">
        <is>
          <t>AC-2(3); SA-9</t>
        </is>
      </c>
      <c r="AC106" s="11" t="inlineStr">
        <is>
          <t>This is the vendor SOC 2 CUEC Wrenfield was not performing (VR-007)</t>
        </is>
      </c>
      <c r="AD106">
        <f>IF(S106="",0,IF(COUNTIF(S$2:S106,S106&amp;"")=1,1,0))</f>
        <v/>
      </c>
    </row>
    <row r="107">
      <c r="A107" s="9" t="inlineStr">
        <is>
          <t>ENT-106</t>
        </is>
      </c>
      <c r="B107" s="9" t="inlineStr">
        <is>
          <t>svc-qs-api</t>
        </is>
      </c>
      <c r="C107" s="9" t="inlineStr">
        <is>
          <t>Service</t>
        </is>
      </c>
      <c r="D107" s="9" t="inlineStr">
        <is>
          <t>Data Engineering (owner)</t>
        </is>
      </c>
      <c r="E107" s="9" t="inlineStr">
        <is>
          <t>Nightly score retrieval</t>
        </is>
      </c>
      <c r="F107" s="9" t="inlineStr">
        <is>
          <t>Liam Porter (owner)</t>
        </is>
      </c>
      <c r="G107" s="9" t="inlineStr">
        <is>
          <t>n/a (non-human)</t>
        </is>
      </c>
      <c r="H107" s="9" t="inlineStr">
        <is>
          <t>Quarrystone portal</t>
        </is>
      </c>
      <c r="I107" s="9" t="inlineStr">
        <is>
          <t>API key (score retrieval)</t>
        </is>
      </c>
      <c r="J107" s="9" t="inlineStr">
        <is>
          <t>N</t>
        </is>
      </c>
      <c r="K107" s="9" t="inlineStr">
        <is>
          <t>Y</t>
        </is>
      </c>
      <c r="L107" s="10" t="n">
        <v>44986</v>
      </c>
      <c r="M107" s="10" t="n">
        <v>46203</v>
      </c>
      <c r="N107" s="11" t="inlineStr">
        <is>
          <t>Nightly score pull into WCP</t>
        </is>
      </c>
      <c r="O107" s="9" t="inlineStr">
        <is>
          <t>Miriam Castell</t>
        </is>
      </c>
      <c r="P107" s="10" t="n">
        <v>46213</v>
      </c>
      <c r="Q107" s="9" t="inlineStr"/>
      <c r="R107" s="9" t="inlineStr">
        <is>
          <t>Retain</t>
        </is>
      </c>
      <c r="S107" s="9" t="inlineStr"/>
      <c r="T107" s="11" t="inlineStr">
        <is>
          <t>None</t>
        </is>
      </c>
      <c r="U107" s="11" t="inlineStr"/>
      <c r="V107" s="9" t="inlineStr"/>
      <c r="W107" s="10" t="n"/>
      <c r="X107" s="9" t="inlineStr">
        <is>
          <t>Completed</t>
        </is>
      </c>
      <c r="Y107" s="10" t="n">
        <v>46213</v>
      </c>
      <c r="Z107" s="9" t="inlineStr"/>
      <c r="AA107" s="9" t="inlineStr"/>
      <c r="AB107" s="9" t="inlineStr"/>
      <c r="AC107" s="11" t="inlineStr"/>
      <c r="AD107">
        <f>IF(S107="",0,IF(COUNTIF(S$2:S107,S107&amp;"")=1,1,0))</f>
        <v/>
      </c>
    </row>
  </sheetData>
  <autoFilter ref="A1:AC107"/>
  <conditionalFormatting sqref="X2:X307">
    <cfRule type="expression" priority="1" dxfId="0">
      <formula>X2="Satisfied"</formula>
    </cfRule>
    <cfRule type="expression" priority="2" dxfId="1">
      <formula>X2="Other Than Satisfied"</formula>
    </cfRule>
    <cfRule type="expression" priority="3" dxfId="0">
      <formula>X2="Closed"</formula>
    </cfRule>
    <cfRule type="expression" priority="4" dxfId="0">
      <formula>X2="Accepted"</formula>
    </cfRule>
    <cfRule type="expression" priority="5" dxfId="2">
      <formula>X2="Risk Accepted"</formula>
    </cfRule>
    <cfRule type="expression" priority="6" dxfId="1">
      <formula>X2="Overdue"</formula>
    </cfRule>
    <cfRule type="expression" priority="7" dxfId="1">
      <formula>X2="Yes"</formula>
    </cfRule>
    <cfRule type="expression" priority="8" dxfId="1">
      <formula>X2="Insufficient"</formula>
    </cfRule>
    <cfRule type="expression" priority="9" dxfId="3">
      <formula>X2="Rework Required"</formula>
    </cfRule>
    <cfRule type="expression" priority="10" dxfId="3">
      <formula>X2="Delayed"</formula>
    </cfRule>
  </conditionalFormatting>
  <dataValidations count="1">
    <dataValidation sqref="R2:R307" showDropDown="0" showInputMessage="0" showErrorMessage="1" allowBlank="1" errorTitle="Controlled value" error="Choose a value from the list (controlled vocabulary)." type="list">
      <formula1>"Retain,Retain (time-bound),Retain with exception,Modify,Revoke"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</cols>
  <sheetData>
    <row r="1" ht="32" customHeight="1">
      <c r="A1" s="7" t="inlineStr">
        <is>
          <t>Flag</t>
        </is>
      </c>
      <c r="B1" s="7" t="inlineStr">
        <is>
          <t>Meaning</t>
        </is>
      </c>
      <c r="C1" s="7" t="inlineStr">
        <is>
          <t>Rows Flagged</t>
        </is>
      </c>
    </row>
    <row r="2">
      <c r="A2" s="9" t="inlineStr">
        <is>
          <t>F-BASELINE</t>
        </is>
      </c>
      <c r="B2" s="11" t="inlineStr">
        <is>
          <t>Privileged or PHI access not in role baseline</t>
        </is>
      </c>
      <c r="C2" s="9" t="n">
        <v>8</v>
      </c>
    </row>
    <row r="3">
      <c r="A3" s="9" t="inlineStr">
        <is>
          <t>F-CONTRACT</t>
        </is>
      </c>
      <c r="B3" s="11" t="inlineStr">
        <is>
          <t>Contract end date passed but worker active</t>
        </is>
      </c>
      <c r="C3" s="9" t="n">
        <v>2</v>
      </c>
    </row>
    <row r="4">
      <c r="A4" s="9" t="inlineStr">
        <is>
          <t>F-DAILYADMIN</t>
        </is>
      </c>
      <c r="B4" s="11" t="inlineStr">
        <is>
          <t>Privileged role on daily-use account (separate admin account required)</t>
        </is>
      </c>
      <c r="C4" s="9" t="n">
        <v>6</v>
      </c>
    </row>
    <row r="5">
      <c r="A5" s="9" t="inlineStr">
        <is>
          <t>F-DUP</t>
        </is>
      </c>
      <c r="B5" s="11" t="inlineStr">
        <is>
          <t>Possible duplicate identity (same person, multiple accounts)</t>
        </is>
      </c>
      <c r="C5" s="9" t="n">
        <v>2</v>
      </c>
    </row>
    <row r="6">
      <c r="A6" s="9" t="inlineStr">
        <is>
          <t>F-INACTIVE</t>
        </is>
      </c>
      <c r="B6" s="11" t="inlineStr">
        <is>
          <t>No use in &gt; 90 days</t>
        </is>
      </c>
      <c r="C6" s="9" t="n">
        <v>6</v>
      </c>
    </row>
    <row r="7">
      <c r="A7" s="9" t="inlineStr">
        <is>
          <t>F-MFA</t>
        </is>
      </c>
      <c r="B7" s="11" t="inlineStr">
        <is>
          <t>MFA not enforced (not enrolled / exemption group)</t>
        </is>
      </c>
      <c r="C7" s="9" t="n">
        <v>3</v>
      </c>
    </row>
    <row r="8">
      <c r="A8" s="9" t="inlineStr">
        <is>
          <t>F-SHARED</t>
        </is>
      </c>
      <c r="B8" s="11" t="inlineStr">
        <is>
          <t>Shared account (no individual accountability)</t>
        </is>
      </c>
      <c r="C8" s="9" t="n">
        <v>1</v>
      </c>
    </row>
    <row r="9">
      <c r="A9" s="9" t="inlineStr">
        <is>
          <t>F-SOD</t>
        </is>
      </c>
      <c r="B9" s="11" t="inlineStr">
        <is>
          <t>Segregation-of-duties conflict</t>
        </is>
      </c>
      <c r="C9" s="9" t="n">
        <v>2</v>
      </c>
    </row>
    <row r="10">
      <c r="A10" s="9" t="inlineStr">
        <is>
          <t>F-SVC-OWNER</t>
        </is>
      </c>
      <c r="B10" s="11" t="inlineStr">
        <is>
          <t>Service account has no documented owner</t>
        </is>
      </c>
      <c r="C10" s="9" t="n">
        <v>2</v>
      </c>
    </row>
    <row r="11">
      <c r="A11" s="9" t="inlineStr">
        <is>
          <t>F-SVC-ROTATION</t>
        </is>
      </c>
      <c r="B11" s="11" t="inlineStr">
        <is>
          <t>Credential older than 365 days</t>
        </is>
      </c>
      <c r="C11" s="9" t="n">
        <v>3</v>
      </c>
    </row>
    <row r="12">
      <c r="A12" s="9" t="inlineStr">
        <is>
          <t>F-TERM</t>
        </is>
      </c>
      <c r="B12" s="11" t="inlineStr">
        <is>
          <t>Worker terminated in HR but access active</t>
        </is>
      </c>
      <c r="C12" s="9" t="n">
        <v>8</v>
      </c>
    </row>
    <row r="13">
      <c r="A13" s="9" t="inlineStr">
        <is>
          <t>F-TRANSFER</t>
        </is>
      </c>
      <c r="B13" s="11" t="inlineStr">
        <is>
          <t>Access from prior role retained after transfer</t>
        </is>
      </c>
      <c r="C13" s="9" t="n">
        <v>1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7" t="inlineStr">
        <is>
          <t>Exception ID</t>
        </is>
      </c>
      <c r="B1" s="7" t="inlineStr">
        <is>
          <t>Issue</t>
        </is>
      </c>
      <c r="C1" s="7" t="inlineStr">
        <is>
          <t>Accounts</t>
        </is>
      </c>
      <c r="D1" s="7" t="inlineStr">
        <is>
          <t>Rows</t>
        </is>
      </c>
      <c r="E1" s="7" t="inlineStr">
        <is>
          <t>Finding</t>
        </is>
      </c>
      <c r="F1" s="7" t="inlineStr">
        <is>
          <t>Status</t>
        </is>
      </c>
    </row>
    <row r="2">
      <c r="A2" s="9" t="inlineStr">
        <is>
          <t>AR-EX-01</t>
        </is>
      </c>
      <c r="B2" s="11" t="inlineStr">
        <is>
          <t>Terminated employee (2026-05-22) still enabled in Okta</t>
        </is>
      </c>
      <c r="C2" s="9" t="inlineStr">
        <is>
          <t>dwhitlock</t>
        </is>
      </c>
      <c r="D2" s="9" t="n">
        <v>2</v>
      </c>
      <c r="E2" s="9" t="inlineStr">
        <is>
          <t>FIND-001</t>
        </is>
      </c>
      <c r="F2" s="9" t="inlineStr">
        <is>
          <t>Completed</t>
        </is>
      </c>
    </row>
    <row r="3">
      <c r="A3" s="9" t="inlineStr">
        <is>
          <t>AR-EX-02</t>
        </is>
      </c>
      <c r="B3" s="11" t="inlineStr">
        <is>
          <t>Terminated contractor (engagement ended 2026-06-05) still enabled; Okta sign-in on 2026-06-09 after end date</t>
        </is>
      </c>
      <c r="C3" s="9" t="inlineStr">
        <is>
          <t>vosei</t>
        </is>
      </c>
      <c r="D3" s="9" t="n">
        <v>2</v>
      </c>
      <c r="E3" s="9" t="inlineStr">
        <is>
          <t>FIND-001</t>
        </is>
      </c>
      <c r="F3" s="9" t="inlineStr">
        <is>
          <t>Completed</t>
        </is>
      </c>
    </row>
    <row r="4">
      <c r="A4" s="9" t="inlineStr">
        <is>
          <t>AR-EX-03</t>
        </is>
      </c>
      <c r="B4" s="11" t="inlineStr">
        <is>
          <t>Local AWS IAM user of employee terminated 2026-03-27 still active (console password + access key); outside Okta de-provisioning</t>
        </is>
      </c>
      <c r="C4" s="9" t="inlineStr">
        <is>
          <t>mfeld-admin</t>
        </is>
      </c>
      <c r="D4" s="9" t="n">
        <v>1</v>
      </c>
      <c r="E4" s="9" t="inlineStr">
        <is>
          <t>FIND-001</t>
        </is>
      </c>
      <c r="F4" s="9" t="inlineStr">
        <is>
          <t>Completed</t>
        </is>
      </c>
    </row>
    <row r="5">
      <c r="A5" s="9" t="inlineStr">
        <is>
          <t>AR-EX-04</t>
        </is>
      </c>
      <c r="B5" s="11" t="inlineStr">
        <is>
          <t>Former employee (terminated 2025-11-14) retains Quarrystone portal account (local auth; not federated to Okta)</t>
        </is>
      </c>
      <c r="C5" s="9" t="inlineStr">
        <is>
          <t>pbrennan</t>
        </is>
      </c>
      <c r="D5" s="9" t="n">
        <v>1</v>
      </c>
      <c r="E5" s="9" t="inlineStr">
        <is>
          <t>FIND-001</t>
        </is>
      </c>
      <c r="F5" s="9" t="inlineStr">
        <is>
          <t>Completed</t>
        </is>
      </c>
    </row>
    <row r="6">
      <c r="A6" s="9" t="inlineStr">
        <is>
          <t>AR-EX-05</t>
        </is>
      </c>
      <c r="B6" s="11" t="inlineStr">
        <is>
          <t>AdministratorAccess in production not required for Software Engineer role; 2024 migration grant never removed</t>
        </is>
      </c>
      <c r="C6" s="9" t="inlineStr">
        <is>
          <t>dokonkwo</t>
        </is>
      </c>
      <c r="D6" s="9" t="n">
        <v>1</v>
      </c>
      <c r="E6" s="9" t="inlineStr">
        <is>
          <t>FIND-003</t>
        </is>
      </c>
      <c r="F6" s="9" t="inlineStr">
        <is>
          <t>Completed</t>
        </is>
      </c>
    </row>
    <row r="7">
      <c r="A7" s="9" t="inlineStr">
        <is>
          <t>AR-EX-06</t>
        </is>
      </c>
      <c r="B7" s="11" t="inlineStr">
        <is>
          <t>AdministratorAccess in production not required for Data Engineer role</t>
        </is>
      </c>
      <c r="C7" s="9" t="inlineStr">
        <is>
          <t>bnguyen</t>
        </is>
      </c>
      <c r="D7" s="9" t="n">
        <v>1</v>
      </c>
      <c r="E7" s="9" t="inlineStr">
        <is>
          <t>FIND-003</t>
        </is>
      </c>
      <c r="F7" s="9" t="inlineStr">
        <is>
          <t>Completed</t>
        </is>
      </c>
    </row>
    <row r="8">
      <c r="A8" s="9" t="inlineStr">
        <is>
          <t>AR-EX-07</t>
        </is>
      </c>
      <c r="B8" s="11" t="inlineStr">
        <is>
          <t>Write access to the PHI primary database is not required for Data Engineer role (backfill finished 2025-07)</t>
        </is>
      </c>
      <c r="C8" s="9" t="inlineStr">
        <is>
          <t>bnguyen</t>
        </is>
      </c>
      <c r="D8" s="9" t="n">
        <v>1</v>
      </c>
      <c r="E8" s="9" t="inlineStr">
        <is>
          <t>FIND-003</t>
        </is>
      </c>
      <c r="F8" s="9" t="inlineStr">
        <is>
          <t>Completed</t>
        </is>
      </c>
    </row>
    <row r="9">
      <c r="A9" s="9" t="inlineStr">
        <is>
          <t>AR-EX-08</t>
        </is>
      </c>
      <c r="B9" s="11" t="inlineStr">
        <is>
          <t>GitHub org owners (5) exceed the approved maximum of 3; owner role not required for VP Engineering</t>
        </is>
      </c>
      <c r="C9" s="9" t="inlineStr">
        <is>
          <t>glindqvist, hlarsen</t>
        </is>
      </c>
      <c r="D9" s="9" t="n">
        <v>2</v>
      </c>
      <c r="E9" s="9" t="inlineStr">
        <is>
          <t>FIND-003</t>
        </is>
      </c>
      <c r="F9" s="9" t="inlineStr">
        <is>
          <t>Completed</t>
        </is>
      </c>
    </row>
    <row r="10">
      <c r="A10" s="9" t="inlineStr">
        <is>
          <t>AR-EX-09</t>
        </is>
      </c>
      <c r="B10" s="11" t="inlineStr">
        <is>
          <t>Okta Super Administrator is not part of the IT Manager role and is held on a daily-use account</t>
        </is>
      </c>
      <c r="C10" s="9" t="inlineStr">
        <is>
          <t>kbrandt</t>
        </is>
      </c>
      <c r="D10" s="9" t="n">
        <v>1</v>
      </c>
      <c r="E10" s="9" t="inlineStr">
        <is>
          <t>FIND-003</t>
        </is>
      </c>
      <c r="F10" s="9" t="inlineStr">
        <is>
          <t>Completed</t>
        </is>
      </c>
    </row>
    <row r="11">
      <c r="A11" s="9" t="inlineStr">
        <is>
          <t>AR-EX-10</t>
        </is>
      </c>
      <c r="B11" s="11" t="inlineStr">
        <is>
          <t>Production AdministratorAccess used from a daily-use account (ACP-002 §5.4 requires a separate admin account)</t>
        </is>
      </c>
      <c r="C11" s="9" t="inlineStr">
        <is>
          <t>lbaptiste, twierzbicki</t>
        </is>
      </c>
      <c r="D11" s="9" t="n">
        <v>2</v>
      </c>
      <c r="E11" s="9" t="inlineStr">
        <is>
          <t>FIND-003</t>
        </is>
      </c>
      <c r="F11" s="9" t="inlineStr">
        <is>
          <t>In Progress</t>
        </is>
      </c>
    </row>
    <row r="12">
      <c r="A12" s="9" t="inlineStr">
        <is>
          <t>AR-EX-11</t>
        </is>
      </c>
      <c r="B12" s="11" t="inlineStr">
        <is>
          <t>Member of MFA-Exempt-Legacy group; MFA not enforced (user also held Okta Super Administrator)</t>
        </is>
      </c>
      <c r="C12" s="9" t="inlineStr">
        <is>
          <t>kbrandt, mcole, svc-vulnscan</t>
        </is>
      </c>
      <c r="D12" s="9" t="n">
        <v>3</v>
      </c>
      <c r="E12" s="9" t="inlineStr">
        <is>
          <t>FIND-002</t>
        </is>
      </c>
      <c r="F12" s="9" t="inlineStr">
        <is>
          <t>Completed</t>
        </is>
      </c>
    </row>
    <row r="13">
      <c r="A13" s="9" t="inlineStr">
        <is>
          <t>AR-EX-12</t>
        </is>
      </c>
      <c r="B13" s="11" t="inlineStr">
        <is>
          <t>Duplicate identity: legacy contractor account from before conversion to employee (2025-04-01); unused since 2025-03-28</t>
        </is>
      </c>
      <c r="C13" s="9" t="inlineStr">
        <is>
          <t>rgupta2</t>
        </is>
      </c>
      <c r="D13" s="9" t="n">
        <v>2</v>
      </c>
      <c r="E13" s="9" t="inlineStr">
        <is>
          <t>FIND-004</t>
        </is>
      </c>
      <c r="F13" s="9" t="inlineStr">
        <is>
          <t>Completed</t>
        </is>
      </c>
    </row>
    <row r="14">
      <c r="A14" s="9" t="inlineStr">
        <is>
          <t>AR-EX-13</t>
        </is>
      </c>
      <c r="B14" s="11" t="inlineStr">
        <is>
          <t>Transferred from Support to Data Engineering on 2026-02-16 but kept PHI support access from prior role; used on 2026-05-14 (after transfer)</t>
        </is>
      </c>
      <c r="C14" s="9" t="inlineStr">
        <is>
          <t>cfernandes</t>
        </is>
      </c>
      <c r="D14" s="9" t="n">
        <v>1</v>
      </c>
      <c r="E14" s="9" t="inlineStr">
        <is>
          <t>FIND-004</t>
        </is>
      </c>
      <c r="F14" s="9" t="inlineStr">
        <is>
          <t>Completed</t>
        </is>
      </c>
    </row>
    <row r="15">
      <c r="A15" s="9" t="inlineStr">
        <is>
          <t>AR-EX-14</t>
        </is>
      </c>
      <c r="B15" s="11" t="inlineStr">
        <is>
          <t>No use in 240 days (inactive &gt; 90-day threshold)</t>
        </is>
      </c>
      <c r="C15" s="9" t="inlineStr">
        <is>
          <t>sparks</t>
        </is>
      </c>
      <c r="D15" s="9" t="n">
        <v>1</v>
      </c>
      <c r="E15" s="9" t="inlineStr">
        <is>
          <t>FIND-004</t>
        </is>
      </c>
      <c r="F15" s="9" t="inlineStr">
        <is>
          <t>Completed</t>
        </is>
      </c>
    </row>
    <row r="16">
      <c r="A16" s="9" t="inlineStr">
        <is>
          <t>AR-EX-15</t>
        </is>
      </c>
      <c r="B16" s="11" t="inlineStr">
        <is>
          <t>Contract end date (2026-05-31) passed in PeopleHub while the contractor was still engaged; manager confirmed extension and SOW amendment pending</t>
        </is>
      </c>
      <c r="C16" s="9" t="inlineStr">
        <is>
          <t>awu</t>
        </is>
      </c>
      <c r="D16" s="9" t="n">
        <v>1</v>
      </c>
      <c r="E16" s="9" t="inlineStr">
        <is>
          <t>FIND-006</t>
        </is>
      </c>
      <c r="F16" s="9" t="inlineStr">
        <is>
          <t>Completed</t>
        </is>
      </c>
    </row>
    <row r="17">
      <c r="A17" s="9" t="inlineStr">
        <is>
          <t>AR-EX-16</t>
        </is>
      </c>
      <c r="B17" s="11" t="inlineStr">
        <is>
          <t>PHI production access not required for the QA role (QA uses staging with synthetic data)</t>
        </is>
      </c>
      <c r="C17" s="9" t="inlineStr">
        <is>
          <t>awu</t>
        </is>
      </c>
      <c r="D17" s="9" t="n">
        <v>1</v>
      </c>
      <c r="E17" s="9" t="inlineStr">
        <is>
          <t>FIND-006</t>
        </is>
      </c>
      <c r="F17" s="9" t="inlineStr">
        <is>
          <t>Completed</t>
        </is>
      </c>
    </row>
    <row r="18">
      <c r="A18" s="9" t="inlineStr">
        <is>
          <t>AR-EX-17</t>
        </is>
      </c>
      <c r="B18" s="11" t="inlineStr">
        <is>
          <t>SoD conflict SOD-01: Vendor Master Maintain + Payment Approver (&lt;= $25k)</t>
        </is>
      </c>
      <c r="C18" s="9" t="inlineStr">
        <is>
          <t>jmercer</t>
        </is>
      </c>
      <c r="D18" s="9" t="n">
        <v>2</v>
      </c>
      <c r="E18" s="9" t="inlineStr">
        <is>
          <t>FIND-007</t>
        </is>
      </c>
      <c r="F18" s="9" t="inlineStr">
        <is>
          <t>Risk Accepted</t>
        </is>
      </c>
    </row>
    <row r="19">
      <c r="A19" s="9" t="inlineStr">
        <is>
          <t>AR-EX-18</t>
        </is>
      </c>
      <c r="B19" s="11" t="inlineStr">
        <is>
          <t>Service account has no documented owner; SSH key not rotated in over 365 days</t>
        </is>
      </c>
      <c r="C19" s="9" t="inlineStr">
        <is>
          <t>svc-quarrystone-sftp</t>
        </is>
      </c>
      <c r="D19" s="9" t="n">
        <v>1</v>
      </c>
      <c r="E19" s="9" t="inlineStr">
        <is>
          <t>FIND-005</t>
        </is>
      </c>
      <c r="F19" s="9" t="inlineStr">
        <is>
          <t>Completed</t>
        </is>
      </c>
    </row>
    <row r="20">
      <c r="A20" s="9" t="inlineStr">
        <is>
          <t>AR-EX-19</t>
        </is>
      </c>
      <c r="B20" s="11" t="inlineStr">
        <is>
          <t>IAM user with a static access key over 365 days old; creator terminated; no documented owner</t>
        </is>
      </c>
      <c r="C20" s="9" t="inlineStr">
        <is>
          <t>svc-reporting-etl</t>
        </is>
      </c>
      <c r="D20" s="9" t="n">
        <v>1</v>
      </c>
      <c r="E20" s="9" t="inlineStr">
        <is>
          <t>FIND-005</t>
        </is>
      </c>
      <c r="F20" s="9" t="inlineStr">
        <is>
          <t>Completed</t>
        </is>
      </c>
    </row>
    <row r="21">
      <c r="A21" s="9" t="inlineStr">
        <is>
          <t>AR-EX-20</t>
        </is>
      </c>
      <c r="B21" s="11" t="inlineStr">
        <is>
          <t>Shared vendor login to EDR console; containment actions not attributable to an individual</t>
        </is>
      </c>
      <c r="C21" s="9" t="inlineStr">
        <is>
          <t>ironpeak-soc</t>
        </is>
      </c>
      <c r="D21" s="9" t="n">
        <v>1</v>
      </c>
      <c r="E21" s="9" t="inlineStr">
        <is>
          <t>FIND-005</t>
        </is>
      </c>
      <c r="F21" s="9" t="inlineStr">
        <is>
          <t>Completed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2026-09-23T05:43:39Z</dcterms:created>
  <dcterms:modified xsi:type="dcterms:W3CDTF">2026-09-23T05:43:40Z</dcterms:modified>
</cp:coreProperties>
</file>