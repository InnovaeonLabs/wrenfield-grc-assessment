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endorInventory" sheetId="2" state="visible" r:id="rId2"/>
    <sheet name="Profile" sheetId="3" state="visible" r:id="rId3"/>
    <sheet name="FourthParties" sheetId="4" state="visible" r:id="rId4"/>
    <sheet name="VendorAssessment" sheetId="5" state="visible" r:id="rId5"/>
    <sheet name="VendorFindings" sheetId="6" state="visible" r:id="rId6"/>
    <sheet name="RiskDecision" sheetId="7" state="visible" r:id="rId7"/>
  </sheets>
  <definedNames>
    <definedName name="_xlnm._FilterDatabase" localSheetId="1" hidden="1">'VendorInventory'!$A$1:$S$17</definedName>
    <definedName name="_xlnm._FilterDatabase" localSheetId="2" hidden="1">'Profile'!$A$1:$B$16</definedName>
    <definedName name="_xlnm._FilterDatabase" localSheetId="3" hidden="1">'FourthParties'!$A$1:$E$5</definedName>
    <definedName name="_xlnm._FilterDatabase" localSheetId="4" hidden="1">'VendorAssessment'!$A$1:$L$37</definedName>
    <definedName name="_xlnm._FilterDatabase" localSheetId="5" hidden="1">'VendorFindings'!$A$1:$K$13</definedName>
    <definedName name="_xlnm._FilterDatabase" localSheetId="6" hidden="1">'RiskDecision'!$A$1:$B$12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name val="Arial"/>
        <b val="1"/>
        <color rgb="00FFFFFF"/>
      </font>
      <fill>
        <patternFill patternType="solid">
          <fgColor rgb="007A1020"/>
        </patternFill>
      </fill>
    </dxf>
    <dxf>
      <font>
        <name val="Arial"/>
        <b val="1"/>
        <color rgb="00FFFFFF"/>
      </font>
      <fill>
        <patternFill patternType="solid">
          <fgColor rgb="00E4572E"/>
        </patternFill>
      </fill>
    </dxf>
    <dxf>
      <font>
        <name val="Arial"/>
        <b val="1"/>
        <color rgb="001A1A1A"/>
      </font>
      <fill>
        <patternFill patternType="solid">
          <fgColor rgb="00F4B942"/>
        </patternFill>
      </fill>
    </dxf>
    <dxf>
      <font>
        <name val="Arial"/>
        <b val="1"/>
        <color rgb="00FFFFFF"/>
      </font>
      <fill>
        <patternFill patternType="solid">
          <fgColor rgb="005DA27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Vendor Risk Assessment: Quarrystone Analytics (fictional) + Vendor Inventory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Tiering</t>
        </is>
      </c>
      <c r="B6" s="6" t="inlineStr">
        <is>
          <t>Inherent score = sensitivity(0-3) + volume(0-3) + access(0-3) + criticality(0-3) + substitutability(0-2); Tier 1 &gt;= 9, Tier 2 &gt;= 5, else Tier 3. Formulas live in VendorInventory</t>
        </is>
      </c>
    </row>
    <row r="7">
      <c r="A7" s="3" t="inlineStr">
        <is>
          <t>Reassessment</t>
        </is>
      </c>
      <c r="B7" s="6" t="inlineStr">
        <is>
          <t>Tier 1: Annual full assessment + continuous monitoring; Tier 2: Every 2 years + at renewal; Tier 3: At renewal (lightweight)</t>
        </is>
      </c>
    </row>
    <row r="8">
      <c r="A8" s="3" t="inlineStr">
        <is>
          <t>Real platforms</t>
        </is>
      </c>
      <c r="B8" s="6" t="inlineStr">
        <is>
          <t>AWS, Okta, GitHub, Google Workspace appear only as inventory entries; no statement is made about their controls</t>
        </is>
      </c>
    </row>
    <row r="9">
      <c r="A9" s="3" t="inlineStr">
        <is>
          <t>Decision</t>
        </is>
      </c>
      <c r="B9" s="6" t="inlineStr">
        <is>
          <t>Mitigate (conditional continuation) + partial Transfer, approved Elena Marsh (CEO) on recommendation of CISO and VP Clinical Analytics, 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6" customWidth="1" min="4" max="4"/>
    <col width="24" customWidth="1" min="5" max="5"/>
    <col width="19" customWidth="1" min="6" max="6"/>
    <col width="28" customWidth="1" min="7" max="7"/>
    <col width="28" customWidth="1" min="8" max="8"/>
    <col width="24" customWidth="1" min="9" max="9"/>
    <col width="16" customWidth="1" min="10" max="10"/>
    <col width="16" customWidth="1" min="11" max="11"/>
    <col width="16" customWidth="1" min="12" max="12"/>
    <col width="19" customWidth="1" min="13" max="13"/>
    <col width="16" customWidth="1" min="14" max="14"/>
    <col width="21" customWidth="1" min="15" max="15"/>
    <col width="34" customWidth="1" min="16" max="16"/>
    <col width="26" customWidth="1" min="17" max="17"/>
    <col width="24" customWidth="1" min="18" max="18"/>
    <col width="16" customWidth="1" min="19" max="19"/>
  </cols>
  <sheetData>
    <row r="1" ht="32" customHeight="1">
      <c r="A1" s="7" t="inlineStr">
        <is>
          <t>Vendor ID</t>
        </is>
      </c>
      <c r="B1" s="7" t="inlineStr">
        <is>
          <t>Vendor</t>
        </is>
      </c>
      <c r="C1" s="7" t="inlineStr">
        <is>
          <t>Service</t>
        </is>
      </c>
      <c r="D1" s="7" t="inlineStr">
        <is>
          <t>Business Owner</t>
        </is>
      </c>
      <c r="E1" s="7" t="inlineStr">
        <is>
          <t>Data Sensitivity (0-3)</t>
        </is>
      </c>
      <c r="F1" s="7" t="inlineStr">
        <is>
          <t>Data Volume (0-3)</t>
        </is>
      </c>
      <c r="G1" s="7" t="inlineStr">
        <is>
          <t>Access / Integration (0-3)</t>
        </is>
      </c>
      <c r="H1" s="7" t="inlineStr">
        <is>
          <t>Business Criticality (0-3)</t>
        </is>
      </c>
      <c r="I1" s="7" t="inlineStr">
        <is>
          <t>Substitutability (0-2)</t>
        </is>
      </c>
      <c r="J1" s="7" t="inlineStr">
        <is>
          <t>Inherent Score</t>
        </is>
      </c>
      <c r="K1" s="7" t="inlineStr">
        <is>
          <t>Tier</t>
        </is>
      </c>
      <c r="L1" s="7" t="inlineStr">
        <is>
          <t>Last Assessed</t>
        </is>
      </c>
      <c r="M1" s="7" t="inlineStr">
        <is>
          <t>Reassess (months)</t>
        </is>
      </c>
      <c r="N1" s="7" t="inlineStr">
        <is>
          <t>Next Due</t>
        </is>
      </c>
      <c r="O1" s="7" t="inlineStr">
        <is>
          <t>Assessment Current?</t>
        </is>
      </c>
      <c r="P1" s="7" t="inlineStr">
        <is>
          <t>Assessment Method</t>
        </is>
      </c>
      <c r="Q1" s="7" t="inlineStr">
        <is>
          <t>Breach Notice Term</t>
        </is>
      </c>
      <c r="R1" s="7" t="inlineStr">
        <is>
          <t>Fourth Parties Mapped?</t>
        </is>
      </c>
      <c r="S1" s="7" t="inlineStr">
        <is>
          <t>Real Platform?</t>
        </is>
      </c>
    </row>
    <row r="2">
      <c r="A2" s="8" t="inlineStr">
        <is>
          <t>VEN-001</t>
        </is>
      </c>
      <c r="B2" s="8" t="inlineStr">
        <is>
          <t>AWS</t>
        </is>
      </c>
      <c r="C2" s="9" t="inlineStr">
        <is>
          <t>IaaS/PaaS hosting for WCP-PROD (BAA)</t>
        </is>
      </c>
      <c r="D2" s="8" t="inlineStr">
        <is>
          <t>Samir Haddad</t>
        </is>
      </c>
      <c r="E2" s="8" t="n">
        <v>3</v>
      </c>
      <c r="F2" s="8" t="n">
        <v>3</v>
      </c>
      <c r="G2" s="8" t="n">
        <v>3</v>
      </c>
      <c r="H2" s="8" t="n">
        <v>3</v>
      </c>
      <c r="I2" s="8" t="n">
        <v>2</v>
      </c>
      <c r="J2" s="8">
        <f>SUM(E2:I2)</f>
        <v/>
      </c>
      <c r="K2" s="8">
        <f>IF(J2&gt;=9,1,IF(J2&gt;=5,2,3))</f>
        <v/>
      </c>
      <c r="L2" s="10" t="n">
        <v>46093</v>
      </c>
      <c r="M2" s="8">
        <f>IF(K2=1,12,IF(K2=2,24,36))</f>
        <v/>
      </c>
      <c r="N2" s="10">
        <f>IF(L2="","",DATE(YEAR(L2),MONTH(L2)+M2,MIN(DAY(L2),28)))</f>
        <v/>
      </c>
      <c r="O2" s="8">
        <f>IF(L2="","No (never)",IF(N2&lt;README!$B$4,"No (overdue)","Yes"))</f>
        <v/>
      </c>
      <c r="P2" s="9" t="inlineStr">
        <is>
          <t>Review of provider's published compliance documentation (details out of scope)</t>
        </is>
      </c>
      <c r="Q2" s="8" t="inlineStr">
        <is>
          <t>Per provider BAA</t>
        </is>
      </c>
      <c r="R2" s="8" t="inlineStr">
        <is>
          <t>n/a</t>
        </is>
      </c>
      <c r="S2" s="8" t="inlineStr">
        <is>
          <t>Yes (no claims made about provider)</t>
        </is>
      </c>
    </row>
    <row r="3">
      <c r="A3" s="8" t="inlineStr">
        <is>
          <t>VEN-002</t>
        </is>
      </c>
      <c r="B3" s="8" t="inlineStr">
        <is>
          <t>Okta</t>
        </is>
      </c>
      <c r="C3" s="9" t="inlineStr">
        <is>
          <t>Workforce identity (SSO/MFA)</t>
        </is>
      </c>
      <c r="D3" s="8" t="inlineStr">
        <is>
          <t>Alicia Moreno</t>
        </is>
      </c>
      <c r="E3" s="8" t="n">
        <v>2</v>
      </c>
      <c r="F3" s="8" t="n">
        <v>2</v>
      </c>
      <c r="G3" s="8" t="n">
        <v>3</v>
      </c>
      <c r="H3" s="8" t="n">
        <v>3</v>
      </c>
      <c r="I3" s="8" t="n">
        <v>2</v>
      </c>
      <c r="J3" s="8">
        <f>SUM(E3:I3)</f>
        <v/>
      </c>
      <c r="K3" s="8">
        <f>IF(J3&gt;=9,1,IF(J3&gt;=5,2,3))</f>
        <v/>
      </c>
      <c r="L3" s="10" t="n">
        <v>46073</v>
      </c>
      <c r="M3" s="8">
        <f>IF(K3=1,12,IF(K3=2,24,36))</f>
        <v/>
      </c>
      <c r="N3" s="10">
        <f>IF(L3="","",DATE(YEAR(L3),MONTH(L3)+M3,MIN(DAY(L3),28)))</f>
        <v/>
      </c>
      <c r="O3" s="8">
        <f>IF(L3="","No (never)",IF(N3&lt;README!$B$4,"No (overdue)","Yes"))</f>
        <v/>
      </c>
      <c r="P3" s="9" t="inlineStr">
        <is>
          <t>Review of provider's published compliance documentation (details out of scope)</t>
        </is>
      </c>
      <c r="Q3" s="8" t="inlineStr">
        <is>
          <t>Per provider terms</t>
        </is>
      </c>
      <c r="R3" s="8" t="inlineStr">
        <is>
          <t>n/a</t>
        </is>
      </c>
      <c r="S3" s="8" t="inlineStr">
        <is>
          <t>Yes (no claims made about provider)</t>
        </is>
      </c>
    </row>
    <row r="4">
      <c r="A4" s="8" t="inlineStr">
        <is>
          <t>VEN-003</t>
        </is>
      </c>
      <c r="B4" s="8" t="inlineStr">
        <is>
          <t>GitHub</t>
        </is>
      </c>
      <c r="C4" s="9" t="inlineStr">
        <is>
          <t>Source code, CI/CD (Actions)</t>
        </is>
      </c>
      <c r="D4" s="8" t="inlineStr">
        <is>
          <t>Grace Lindqvist</t>
        </is>
      </c>
      <c r="E4" s="8" t="n">
        <v>2</v>
      </c>
      <c r="F4" s="8" t="n">
        <v>1</v>
      </c>
      <c r="G4" s="8" t="n">
        <v>3</v>
      </c>
      <c r="H4" s="8" t="n">
        <v>2</v>
      </c>
      <c r="I4" s="8" t="n">
        <v>1</v>
      </c>
      <c r="J4" s="8">
        <f>SUM(E4:I4)</f>
        <v/>
      </c>
      <c r="K4" s="8">
        <f>IF(J4&gt;=9,1,IF(J4&gt;=5,2,3))</f>
        <v/>
      </c>
      <c r="L4" s="10" t="n">
        <v>46050</v>
      </c>
      <c r="M4" s="8">
        <f>IF(K4=1,12,IF(K4=2,24,36))</f>
        <v/>
      </c>
      <c r="N4" s="10">
        <f>IF(L4="","",DATE(YEAR(L4),MONTH(L4)+M4,MIN(DAY(L4),28)))</f>
        <v/>
      </c>
      <c r="O4" s="8">
        <f>IF(L4="","No (never)",IF(N4&lt;README!$B$4,"No (overdue)","Yes"))</f>
        <v/>
      </c>
      <c r="P4" s="9" t="inlineStr">
        <is>
          <t>Review of provider's published compliance documentation (details out of scope)</t>
        </is>
      </c>
      <c r="Q4" s="8" t="inlineStr">
        <is>
          <t>Per provider terms</t>
        </is>
      </c>
      <c r="R4" s="8" t="inlineStr">
        <is>
          <t>n/a</t>
        </is>
      </c>
      <c r="S4" s="8" t="inlineStr">
        <is>
          <t>Yes (no claims made about provider)</t>
        </is>
      </c>
    </row>
    <row r="5">
      <c r="A5" s="8" t="inlineStr">
        <is>
          <t>VEN-004</t>
        </is>
      </c>
      <c r="B5" s="8" t="inlineStr">
        <is>
          <t>Quarrystone Analytics, LLC (fictional)</t>
        </is>
      </c>
      <c r="C5" s="9" t="inlineStr">
        <is>
          <t>Population-health analytics; nightly full-PHI extract (about 410k patients)</t>
        </is>
      </c>
      <c r="D5" s="8" t="inlineStr">
        <is>
          <t>Miriam Castell</t>
        </is>
      </c>
      <c r="E5" s="8" t="n">
        <v>3</v>
      </c>
      <c r="F5" s="8" t="n">
        <v>3</v>
      </c>
      <c r="G5" s="8" t="n">
        <v>2</v>
      </c>
      <c r="H5" s="8" t="n">
        <v>2</v>
      </c>
      <c r="I5" s="8" t="n">
        <v>2</v>
      </c>
      <c r="J5" s="8">
        <f>SUM(E5:I5)</f>
        <v/>
      </c>
      <c r="K5" s="8">
        <f>IF(J5&gt;=9,1,IF(J5&gt;=5,2,3))</f>
        <v/>
      </c>
      <c r="L5" s="10" t="n">
        <v>46227</v>
      </c>
      <c r="M5" s="8">
        <f>IF(K5=1,12,IF(K5=2,24,36))</f>
        <v/>
      </c>
      <c r="N5" s="10">
        <f>IF(L5="","",DATE(YEAR(L5),MONTH(L5)+M5,MIN(DAY(L5),28)))</f>
        <v/>
      </c>
      <c r="O5" s="8">
        <f>IF(L5="","No (never)",IF(N5&lt;README!$B$4,"No (overdue)","Yes"))</f>
        <v/>
      </c>
      <c r="P5" s="9" t="inlineStr">
        <is>
          <t>Deep assessment (this engagement): questionnaire, SOC 2 review, interviews</t>
        </is>
      </c>
      <c r="Q5" s="8" t="inlineStr">
        <is>
          <t>30 days (BAA 2023)</t>
        </is>
      </c>
      <c r="R5" s="8" t="inlineStr">
        <is>
          <t>Yes (4 subprocessors identified during this assessment)</t>
        </is>
      </c>
      <c r="S5" s="8" t="inlineStr">
        <is>
          <t>No (fictional)</t>
        </is>
      </c>
    </row>
    <row r="6">
      <c r="A6" s="8" t="inlineStr">
        <is>
          <t>VEN-005</t>
        </is>
      </c>
      <c r="B6" s="8" t="inlineStr">
        <is>
          <t>Pulsewire Connect (fictional)</t>
        </is>
      </c>
      <c r="C6" s="9" t="inlineStr">
        <is>
          <t>RPM cellular hubs and device-data API</t>
        </is>
      </c>
      <c r="D6" s="8" t="inlineStr">
        <is>
          <t>Jorge Almeida</t>
        </is>
      </c>
      <c r="E6" s="8" t="n">
        <v>3</v>
      </c>
      <c r="F6" s="8" t="n">
        <v>3</v>
      </c>
      <c r="G6" s="8" t="n">
        <v>2</v>
      </c>
      <c r="H6" s="8" t="n">
        <v>3</v>
      </c>
      <c r="I6" s="8" t="n">
        <v>2</v>
      </c>
      <c r="J6" s="8">
        <f>SUM(E6:I6)</f>
        <v/>
      </c>
      <c r="K6" s="8">
        <f>IF(J6&gt;=9,1,IF(J6&gt;=5,2,3))</f>
        <v/>
      </c>
      <c r="L6" s="10" t="n">
        <v>45518</v>
      </c>
      <c r="M6" s="8">
        <f>IF(K6=1,12,IF(K6=2,24,36))</f>
        <v/>
      </c>
      <c r="N6" s="10">
        <f>IF(L6="","",DATE(YEAR(L6),MONTH(L6)+M6,MIN(DAY(L6),28)))</f>
        <v/>
      </c>
      <c r="O6" s="8">
        <f>IF(L6="","No (never)",IF(N6&lt;README!$B$4,"No (overdue)","Yes"))</f>
        <v/>
      </c>
      <c r="P6" s="9" t="inlineStr">
        <is>
          <t>Questionnaire + SOC 2 review</t>
        </is>
      </c>
      <c r="Q6" s="8" t="inlineStr">
        <is>
          <t>10 days</t>
        </is>
      </c>
      <c r="R6" s="8" t="inlineStr">
        <is>
          <t>No</t>
        </is>
      </c>
      <c r="S6" s="8" t="inlineStr">
        <is>
          <t>No (fictional)</t>
        </is>
      </c>
    </row>
    <row r="7">
      <c r="A7" s="8" t="inlineStr">
        <is>
          <t>VEN-006</t>
        </is>
      </c>
      <c r="B7" s="8" t="inlineStr">
        <is>
          <t>Ironpeak MDR (fictional)</t>
        </is>
      </c>
      <c r="C7" s="9" t="inlineStr">
        <is>
          <t>24x7 managed detection and response (SIEM/EDR access)</t>
        </is>
      </c>
      <c r="D7" s="8" t="inlineStr">
        <is>
          <t>Owen Castillo</t>
        </is>
      </c>
      <c r="E7" s="8" t="n">
        <v>2</v>
      </c>
      <c r="F7" s="8" t="n">
        <v>2</v>
      </c>
      <c r="G7" s="8" t="n">
        <v>3</v>
      </c>
      <c r="H7" s="8" t="n">
        <v>2</v>
      </c>
      <c r="I7" s="8" t="n">
        <v>1</v>
      </c>
      <c r="J7" s="8">
        <f>SUM(E7:I7)</f>
        <v/>
      </c>
      <c r="K7" s="8">
        <f>IF(J7&gt;=9,1,IF(J7&gt;=5,2,3))</f>
        <v/>
      </c>
      <c r="L7" s="10" t="n">
        <v>45635</v>
      </c>
      <c r="M7" s="8">
        <f>IF(K7=1,12,IF(K7=2,24,36))</f>
        <v/>
      </c>
      <c r="N7" s="10">
        <f>IF(L7="","",DATE(YEAR(L7),MONTH(L7)+M7,MIN(DAY(L7),28)))</f>
        <v/>
      </c>
      <c r="O7" s="8">
        <f>IF(L7="","No (never)",IF(N7&lt;README!$B$4,"No (overdue)","Yes"))</f>
        <v/>
      </c>
      <c r="P7" s="9" t="inlineStr">
        <is>
          <t>Onboarding due diligence only</t>
        </is>
      </c>
      <c r="Q7" s="8" t="inlineStr">
        <is>
          <t>48 hours</t>
        </is>
      </c>
      <c r="R7" s="8" t="inlineStr">
        <is>
          <t>No</t>
        </is>
      </c>
      <c r="S7" s="8" t="inlineStr">
        <is>
          <t>No (fictional)</t>
        </is>
      </c>
    </row>
    <row r="8">
      <c r="A8" s="8" t="inlineStr">
        <is>
          <t>VEN-007</t>
        </is>
      </c>
      <c r="B8" s="8" t="inlineStr">
        <is>
          <t>Google Workspace</t>
        </is>
      </c>
      <c r="C8" s="9" t="inlineStr">
        <is>
          <t>Email and documents (BAA)</t>
        </is>
      </c>
      <c r="D8" s="8" t="inlineStr">
        <is>
          <t>Kevin Brandt</t>
        </is>
      </c>
      <c r="E8" s="8" t="n">
        <v>3</v>
      </c>
      <c r="F8" s="8" t="n">
        <v>2</v>
      </c>
      <c r="G8" s="8" t="n">
        <v>1</v>
      </c>
      <c r="H8" s="8" t="n">
        <v>2</v>
      </c>
      <c r="I8" s="8" t="n">
        <v>2</v>
      </c>
      <c r="J8" s="8">
        <f>SUM(E8:I8)</f>
        <v/>
      </c>
      <c r="K8" s="8">
        <f>IF(J8&gt;=9,1,IF(J8&gt;=5,2,3))</f>
        <v/>
      </c>
      <c r="L8" s="10" t="n">
        <v>46121</v>
      </c>
      <c r="M8" s="8">
        <f>IF(K8=1,12,IF(K8=2,24,36))</f>
        <v/>
      </c>
      <c r="N8" s="10">
        <f>IF(L8="","",DATE(YEAR(L8),MONTH(L8)+M8,MIN(DAY(L8),28)))</f>
        <v/>
      </c>
      <c r="O8" s="8">
        <f>IF(L8="","No (never)",IF(N8&lt;README!$B$4,"No (overdue)","Yes"))</f>
        <v/>
      </c>
      <c r="P8" s="9" t="inlineStr">
        <is>
          <t>Review of provider's published compliance documentation (details out of scope)</t>
        </is>
      </c>
      <c r="Q8" s="8" t="inlineStr">
        <is>
          <t>Per provider BAA</t>
        </is>
      </c>
      <c r="R8" s="8" t="inlineStr">
        <is>
          <t>n/a</t>
        </is>
      </c>
      <c r="S8" s="8" t="inlineStr">
        <is>
          <t>Yes (no claims made about provider)</t>
        </is>
      </c>
    </row>
    <row r="9">
      <c r="A9" s="8" t="inlineStr">
        <is>
          <t>VEN-008</t>
        </is>
      </c>
      <c r="B9" s="8" t="inlineStr">
        <is>
          <t>Brightdesk (fictional)</t>
        </is>
      </c>
      <c r="C9" s="9" t="inlineStr">
        <is>
          <t>Customer-support ticketing (limited PHI)</t>
        </is>
      </c>
      <c r="D9" s="8" t="inlineStr">
        <is>
          <t>Jorge Almeida</t>
        </is>
      </c>
      <c r="E9" s="8" t="n">
        <v>3</v>
      </c>
      <c r="F9" s="8" t="n">
        <v>1</v>
      </c>
      <c r="G9" s="8" t="n">
        <v>1</v>
      </c>
      <c r="H9" s="8" t="n">
        <v>1</v>
      </c>
      <c r="I9" s="8" t="n">
        <v>1</v>
      </c>
      <c r="J9" s="8">
        <f>SUM(E9:I9)</f>
        <v/>
      </c>
      <c r="K9" s="8">
        <f>IF(J9&gt;=9,1,IF(J9&gt;=5,2,3))</f>
        <v/>
      </c>
      <c r="L9" s="10" t="n">
        <v>45797</v>
      </c>
      <c r="M9" s="8">
        <f>IF(K9=1,12,IF(K9=2,24,36))</f>
        <v/>
      </c>
      <c r="N9" s="10">
        <f>IF(L9="","",DATE(YEAR(L9),MONTH(L9)+M9,MIN(DAY(L9),28)))</f>
        <v/>
      </c>
      <c r="O9" s="8">
        <f>IF(L9="","No (never)",IF(N9&lt;README!$B$4,"No (overdue)","Yes"))</f>
        <v/>
      </c>
      <c r="P9" s="9" t="inlineStr">
        <is>
          <t>Questionnaire + SOC 2 review</t>
        </is>
      </c>
      <c r="Q9" s="8" t="inlineStr">
        <is>
          <t>5 business days</t>
        </is>
      </c>
      <c r="R9" s="8" t="inlineStr">
        <is>
          <t>No</t>
        </is>
      </c>
      <c r="S9" s="8" t="inlineStr">
        <is>
          <t>No (fictional)</t>
        </is>
      </c>
    </row>
    <row r="10">
      <c r="A10" s="8" t="inlineStr">
        <is>
          <t>VEN-009</t>
        </is>
      </c>
      <c r="B10" s="8" t="inlineStr">
        <is>
          <t>Clearpath Messaging (fictional)</t>
        </is>
      </c>
      <c r="C10" s="9" t="inlineStr">
        <is>
          <t>Patient SMS/voice reminders (name + phone + appointment time)</t>
        </is>
      </c>
      <c r="D10" s="8" t="inlineStr">
        <is>
          <t>Jorge Almeida</t>
        </is>
      </c>
      <c r="E10" s="8" t="n">
        <v>2</v>
      </c>
      <c r="F10" s="8" t="n">
        <v>3</v>
      </c>
      <c r="G10" s="8" t="n">
        <v>2</v>
      </c>
      <c r="H10" s="8" t="n">
        <v>1</v>
      </c>
      <c r="I10" s="8" t="n">
        <v>0</v>
      </c>
      <c r="J10" s="8">
        <f>SUM(E10:I10)</f>
        <v/>
      </c>
      <c r="K10" s="8">
        <f>IF(J10&gt;=9,1,IF(J10&gt;=5,2,3))</f>
        <v/>
      </c>
      <c r="L10" s="10" t="n">
        <v>45418</v>
      </c>
      <c r="M10" s="8">
        <f>IF(K10=1,12,IF(K10=2,24,36))</f>
        <v/>
      </c>
      <c r="N10" s="10">
        <f>IF(L10="","",DATE(YEAR(L10),MONTH(L10)+M10,MIN(DAY(L10),28)))</f>
        <v/>
      </c>
      <c r="O10" s="8">
        <f>IF(L10="","No (never)",IF(N10&lt;README!$B$4,"No (overdue)","Yes"))</f>
        <v/>
      </c>
      <c r="P10" s="9" t="inlineStr">
        <is>
          <t>Questionnaire</t>
        </is>
      </c>
      <c r="Q10" s="8" t="inlineStr">
        <is>
          <t>Without unreasonable delay (no fixed period)</t>
        </is>
      </c>
      <c r="R10" s="8" t="inlineStr">
        <is>
          <t>No</t>
        </is>
      </c>
      <c r="S10" s="8" t="inlineStr">
        <is>
          <t>No (fictional)</t>
        </is>
      </c>
    </row>
    <row r="11">
      <c r="A11" s="8" t="inlineStr">
        <is>
          <t>VEN-010</t>
        </is>
      </c>
      <c r="B11" s="8" t="inlineStr">
        <is>
          <t>PeopleHub (fictional)</t>
        </is>
      </c>
      <c r="C11" s="9" t="inlineStr">
        <is>
          <t>HRIS (authoritative source for JML)</t>
        </is>
      </c>
      <c r="D11" s="8" t="inlineStr">
        <is>
          <t>Denise Yamamoto</t>
        </is>
      </c>
      <c r="E11" s="8" t="n">
        <v>2</v>
      </c>
      <c r="F11" s="8" t="n">
        <v>1</v>
      </c>
      <c r="G11" s="8" t="n">
        <v>1</v>
      </c>
      <c r="H11" s="8" t="n">
        <v>2</v>
      </c>
      <c r="I11" s="8" t="n">
        <v>1</v>
      </c>
      <c r="J11" s="8">
        <f>SUM(E11:I11)</f>
        <v/>
      </c>
      <c r="K11" s="8">
        <f>IF(J11&gt;=9,1,IF(J11&gt;=5,2,3))</f>
        <v/>
      </c>
      <c r="L11" s="10" t="n">
        <v>45734</v>
      </c>
      <c r="M11" s="8">
        <f>IF(K11=1,12,IF(K11=2,24,36))</f>
        <v/>
      </c>
      <c r="N11" s="10">
        <f>IF(L11="","",DATE(YEAR(L11),MONTH(L11)+M11,MIN(DAY(L11),28)))</f>
        <v/>
      </c>
      <c r="O11" s="8">
        <f>IF(L11="","No (never)",IF(N11&lt;README!$B$4,"No (overdue)","Yes"))</f>
        <v/>
      </c>
      <c r="P11" s="9" t="inlineStr">
        <is>
          <t>Questionnaire + SOC 2 review</t>
        </is>
      </c>
      <c r="Q11" s="8" t="inlineStr">
        <is>
          <t>72 hours</t>
        </is>
      </c>
      <c r="R11" s="8" t="inlineStr">
        <is>
          <t>No</t>
        </is>
      </c>
      <c r="S11" s="8" t="inlineStr">
        <is>
          <t>No (fictional)</t>
        </is>
      </c>
    </row>
    <row r="12">
      <c r="A12" s="8" t="inlineStr">
        <is>
          <t>VEN-011</t>
        </is>
      </c>
      <c r="B12" s="8" t="inlineStr">
        <is>
          <t>Ledgerline (fictional)</t>
        </is>
      </c>
      <c r="C12" s="9" t="inlineStr">
        <is>
          <t>ERP / finance</t>
        </is>
      </c>
      <c r="D12" s="8" t="inlineStr">
        <is>
          <t>Laura Brenneman</t>
        </is>
      </c>
      <c r="E12" s="8" t="n">
        <v>2</v>
      </c>
      <c r="F12" s="8" t="n">
        <v>1</v>
      </c>
      <c r="G12" s="8" t="n">
        <v>1</v>
      </c>
      <c r="H12" s="8" t="n">
        <v>2</v>
      </c>
      <c r="I12" s="8" t="n">
        <v>1</v>
      </c>
      <c r="J12" s="8">
        <f>SUM(E12:I12)</f>
        <v/>
      </c>
      <c r="K12" s="8">
        <f>IF(J12&gt;=9,1,IF(J12&gt;=5,2,3))</f>
        <v/>
      </c>
      <c r="L12" s="10" t="n">
        <v>45902</v>
      </c>
      <c r="M12" s="8">
        <f>IF(K12=1,12,IF(K12=2,24,36))</f>
        <v/>
      </c>
      <c r="N12" s="10">
        <f>IF(L12="","",DATE(YEAR(L12),MONTH(L12)+M12,MIN(DAY(L12),28)))</f>
        <v/>
      </c>
      <c r="O12" s="8">
        <f>IF(L12="","No (never)",IF(N12&lt;README!$B$4,"No (overdue)","Yes"))</f>
        <v/>
      </c>
      <c r="P12" s="9" t="inlineStr">
        <is>
          <t>Questionnaire + SOC 1/SOC 2 review</t>
        </is>
      </c>
      <c r="Q12" s="8" t="inlineStr">
        <is>
          <t>72 hours</t>
        </is>
      </c>
      <c r="R12" s="8" t="inlineStr">
        <is>
          <t>No</t>
        </is>
      </c>
      <c r="S12" s="8" t="inlineStr">
        <is>
          <t>No (fictional)</t>
        </is>
      </c>
    </row>
    <row r="13">
      <c r="A13" s="8" t="inlineStr">
        <is>
          <t>VEN-012</t>
        </is>
      </c>
      <c r="B13" s="8" t="inlineStr">
        <is>
          <t>Northgate Talent Partners (fictional)</t>
        </is>
      </c>
      <c r="C13" s="9" t="inlineStr">
        <is>
          <t>Contract engineering staff (contractors receive privileged access)</t>
        </is>
      </c>
      <c r="D13" s="8" t="inlineStr">
        <is>
          <t>Sofia Ricci</t>
        </is>
      </c>
      <c r="E13" s="8" t="n">
        <v>1</v>
      </c>
      <c r="F13" s="8" t="n">
        <v>0</v>
      </c>
      <c r="G13" s="8" t="n">
        <v>3</v>
      </c>
      <c r="H13" s="8" t="n">
        <v>1</v>
      </c>
      <c r="I13" s="8" t="n">
        <v>0</v>
      </c>
      <c r="J13" s="8">
        <f>SUM(E13:I13)</f>
        <v/>
      </c>
      <c r="K13" s="8">
        <f>IF(J13&gt;=9,1,IF(J13&gt;=5,2,3))</f>
        <v/>
      </c>
      <c r="L13" s="10" t="n"/>
      <c r="M13" s="8">
        <f>IF(K13=1,12,IF(K13=2,24,36))</f>
        <v/>
      </c>
      <c r="N13" s="10">
        <f>IF(L13="","",DATE(YEAR(L13),MONTH(L13)+M13,MIN(DAY(L13),28)))</f>
        <v/>
      </c>
      <c r="O13" s="8">
        <f>IF(L13="","No (never)",IF(N13&lt;README!$B$4,"No (overdue)","Yes"))</f>
        <v/>
      </c>
      <c r="P13" s="9" t="inlineStr">
        <is>
          <t>Never assessed (treated as staffing, not a data vendor)</t>
        </is>
      </c>
      <c r="Q13" s="8" t="inlineStr">
        <is>
          <t>None in MSA</t>
        </is>
      </c>
      <c r="R13" s="8" t="inlineStr">
        <is>
          <t>No</t>
        </is>
      </c>
      <c r="S13" s="8" t="inlineStr">
        <is>
          <t>No (fictional)</t>
        </is>
      </c>
    </row>
    <row r="14">
      <c r="A14" s="8" t="inlineStr">
        <is>
          <t>VEN-013</t>
        </is>
      </c>
      <c r="B14" s="8" t="inlineStr">
        <is>
          <t>Beaconline SIEM (fictional)</t>
        </is>
      </c>
      <c r="C14" s="9" t="inlineStr">
        <is>
          <t>Cloud SIEM</t>
        </is>
      </c>
      <c r="D14" s="8" t="inlineStr">
        <is>
          <t>Owen Castillo</t>
        </is>
      </c>
      <c r="E14" s="8" t="n">
        <v>2</v>
      </c>
      <c r="F14" s="8" t="n">
        <v>2</v>
      </c>
      <c r="G14" s="8" t="n">
        <v>1</v>
      </c>
      <c r="H14" s="8" t="n">
        <v>2</v>
      </c>
      <c r="I14" s="8" t="n">
        <v>1</v>
      </c>
      <c r="J14" s="8">
        <f>SUM(E14:I14)</f>
        <v/>
      </c>
      <c r="K14" s="8">
        <f>IF(J14&gt;=9,1,IF(J14&gt;=5,2,3))</f>
        <v/>
      </c>
      <c r="L14" s="10" t="n">
        <v>45699</v>
      </c>
      <c r="M14" s="8">
        <f>IF(K14=1,12,IF(K14=2,24,36))</f>
        <v/>
      </c>
      <c r="N14" s="10">
        <f>IF(L14="","",DATE(YEAR(L14),MONTH(L14)+M14,MIN(DAY(L14),28)))</f>
        <v/>
      </c>
      <c r="O14" s="8">
        <f>IF(L14="","No (never)",IF(N14&lt;README!$B$4,"No (overdue)","Yes"))</f>
        <v/>
      </c>
      <c r="P14" s="9" t="inlineStr">
        <is>
          <t>Questionnaire + SOC 2 review</t>
        </is>
      </c>
      <c r="Q14" s="8" t="inlineStr">
        <is>
          <t>72 hours</t>
        </is>
      </c>
      <c r="R14" s="8" t="inlineStr">
        <is>
          <t>No</t>
        </is>
      </c>
      <c r="S14" s="8" t="inlineStr">
        <is>
          <t>No (fictional)</t>
        </is>
      </c>
    </row>
    <row r="15">
      <c r="A15" s="8" t="inlineStr">
        <is>
          <t>VEN-014</t>
        </is>
      </c>
      <c r="B15" s="8" t="inlineStr">
        <is>
          <t>Coldwater Secure Destruction (fictional)</t>
        </is>
      </c>
      <c r="C15" s="9" t="inlineStr">
        <is>
          <t>IT asset disposition</t>
        </is>
      </c>
      <c r="D15" s="8" t="inlineStr">
        <is>
          <t>Kevin Brandt</t>
        </is>
      </c>
      <c r="E15" s="8" t="n">
        <v>1</v>
      </c>
      <c r="F15" s="8" t="n">
        <v>1</v>
      </c>
      <c r="G15" s="8" t="n">
        <v>0</v>
      </c>
      <c r="H15" s="8" t="n">
        <v>0</v>
      </c>
      <c r="I15" s="8" t="n">
        <v>0</v>
      </c>
      <c r="J15" s="8">
        <f>SUM(E15:I15)</f>
        <v/>
      </c>
      <c r="K15" s="8">
        <f>IF(J15&gt;=9,1,IF(J15&gt;=5,2,3))</f>
        <v/>
      </c>
      <c r="L15" s="10" t="n">
        <v>45931</v>
      </c>
      <c r="M15" s="8">
        <f>IF(K15=1,12,IF(K15=2,24,36))</f>
        <v/>
      </c>
      <c r="N15" s="10">
        <f>IF(L15="","",DATE(YEAR(L15),MONTH(L15)+M15,MIN(DAY(L15),28)))</f>
        <v/>
      </c>
      <c r="O15" s="8">
        <f>IF(L15="","No (never)",IF(N15&lt;README!$B$4,"No (overdue)","Yes"))</f>
        <v/>
      </c>
      <c r="P15" s="9" t="inlineStr">
        <is>
          <t>Certificate + NAID-style attestation review</t>
        </is>
      </c>
      <c r="Q15" s="8" t="inlineStr">
        <is>
          <t>5 business days</t>
        </is>
      </c>
      <c r="R15" s="8" t="inlineStr">
        <is>
          <t>n/a</t>
        </is>
      </c>
      <c r="S15" s="8" t="inlineStr">
        <is>
          <t>No (fictional)</t>
        </is>
      </c>
    </row>
    <row r="16">
      <c r="A16" s="8" t="inlineStr">
        <is>
          <t>VEN-015</t>
        </is>
      </c>
      <c r="B16" s="8" t="inlineStr">
        <is>
          <t>Lanternworks Security (fictional)</t>
        </is>
      </c>
      <c r="C16" s="9" t="inlineStr">
        <is>
          <t>Annual penetration testing</t>
        </is>
      </c>
      <c r="D16" s="8" t="inlineStr">
        <is>
          <t>Alicia Moreno</t>
        </is>
      </c>
      <c r="E16" s="8" t="n">
        <v>2</v>
      </c>
      <c r="F16" s="8" t="n">
        <v>0</v>
      </c>
      <c r="G16" s="8" t="n">
        <v>2</v>
      </c>
      <c r="H16" s="8" t="n">
        <v>0</v>
      </c>
      <c r="I16" s="8" t="n">
        <v>0</v>
      </c>
      <c r="J16" s="8">
        <f>SUM(E16:I16)</f>
        <v/>
      </c>
      <c r="K16" s="8">
        <f>IF(J16&gt;=9,1,IF(J16&gt;=5,2,3))</f>
        <v/>
      </c>
      <c r="L16" s="10" t="n">
        <v>45976</v>
      </c>
      <c r="M16" s="8">
        <f>IF(K16=1,12,IF(K16=2,24,36))</f>
        <v/>
      </c>
      <c r="N16" s="10">
        <f>IF(L16="","",DATE(YEAR(L16),MONTH(L16)+M16,MIN(DAY(L16),28)))</f>
        <v/>
      </c>
      <c r="O16" s="8">
        <f>IF(L16="","No (never)",IF(N16&lt;README!$B$4,"No (overdue)","Yes"))</f>
        <v/>
      </c>
      <c r="P16" s="9" t="inlineStr">
        <is>
          <t>Engagement due diligence</t>
        </is>
      </c>
      <c r="Q16" s="8" t="inlineStr">
        <is>
          <t>24 hours</t>
        </is>
      </c>
      <c r="R16" s="8" t="inlineStr">
        <is>
          <t>n/a</t>
        </is>
      </c>
      <c r="S16" s="8" t="inlineStr">
        <is>
          <t>No (fictional)</t>
        </is>
      </c>
    </row>
    <row r="17">
      <c r="A17" s="8" t="inlineStr">
        <is>
          <t>VEN-016</t>
        </is>
      </c>
      <c r="B17" s="8" t="inlineStr">
        <is>
          <t>Tallis Print &amp; Mail (fictional)</t>
        </is>
      </c>
      <c r="C17" s="9" t="inlineStr">
        <is>
          <t>Patient letters (names, addresses, program info)</t>
        </is>
      </c>
      <c r="D17" s="8" t="inlineStr">
        <is>
          <t>Jorge Almeida</t>
        </is>
      </c>
      <c r="E17" s="8" t="n">
        <v>3</v>
      </c>
      <c r="F17" s="8" t="n">
        <v>2</v>
      </c>
      <c r="G17" s="8" t="n">
        <v>2</v>
      </c>
      <c r="H17" s="8" t="n">
        <v>1</v>
      </c>
      <c r="I17" s="8" t="n">
        <v>0</v>
      </c>
      <c r="J17" s="8">
        <f>SUM(E17:I17)</f>
        <v/>
      </c>
      <c r="K17" s="8">
        <f>IF(J17&gt;=9,1,IF(J17&gt;=5,2,3))</f>
        <v/>
      </c>
      <c r="L17" s="10" t="n"/>
      <c r="M17" s="8">
        <f>IF(K17=1,12,IF(K17=2,24,36))</f>
        <v/>
      </c>
      <c r="N17" s="10">
        <f>IF(L17="","",DATE(YEAR(L17),MONTH(L17)+M17,MIN(DAY(L17),28)))</f>
        <v/>
      </c>
      <c r="O17" s="8">
        <f>IF(L17="","No (never)",IF(N17&lt;README!$B$4,"No (overdue)","Yes"))</f>
        <v/>
      </c>
      <c r="P17" s="9" t="inlineStr">
        <is>
          <t>Never assessed</t>
        </is>
      </c>
      <c r="Q17" s="8" t="inlineStr">
        <is>
          <t>BAA executed 2023; no timeline</t>
        </is>
      </c>
      <c r="R17" s="8" t="inlineStr">
        <is>
          <t>No</t>
        </is>
      </c>
      <c r="S17" s="8" t="inlineStr">
        <is>
          <t>No (fictional)</t>
        </is>
      </c>
    </row>
  </sheetData>
  <autoFilter ref="A1:S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7" t="inlineStr">
        <is>
          <t>Attribute</t>
        </is>
      </c>
      <c r="B1" s="7" t="inlineStr">
        <is>
          <t>Value</t>
        </is>
      </c>
    </row>
    <row r="2">
      <c r="A2" s="8" t="inlineStr">
        <is>
          <t>Vendor</t>
        </is>
      </c>
      <c r="B2" s="9" t="inlineStr">
        <is>
          <t>VEN-004</t>
        </is>
      </c>
    </row>
    <row r="3">
      <c r="A3" s="8" t="inlineStr">
        <is>
          <t>Name</t>
        </is>
      </c>
      <c r="B3" s="9" t="inlineStr">
        <is>
          <t>Quarrystone Analytics, LLC (fictional)</t>
        </is>
      </c>
    </row>
    <row r="4">
      <c r="A4" s="8" t="inlineStr">
        <is>
          <t>Service</t>
        </is>
      </c>
      <c r="B4" s="9" t="inlineStr">
        <is>
          <t>Population-health risk stratification and care-gap analytics. Nightly scores rank patients for care-manager outreach.</t>
        </is>
      </c>
    </row>
    <row r="5">
      <c r="A5" s="8" t="inlineStr">
        <is>
          <t>Business Owner</t>
        </is>
      </c>
      <c r="B5" s="9" t="inlineStr">
        <is>
          <t>Dr. Miriam Castell, VP Clinical Analytics</t>
        </is>
      </c>
    </row>
    <row r="6">
      <c r="A6" s="8" t="inlineStr">
        <is>
          <t>Technical Owner</t>
        </is>
      </c>
      <c r="B6" s="9" t="inlineStr">
        <is>
          <t>Liam Porter, Data Engineering Manager</t>
        </is>
      </c>
    </row>
    <row r="7">
      <c r="A7" s="8" t="inlineStr">
        <is>
          <t>Contract</t>
        </is>
      </c>
      <c r="B7" s="9" t="inlineStr">
        <is>
          <t>MSA + BAA signed 2023-02-15 on vendor paper; renewal 2027-01-31 (negotiation leverage); annual fee $410k</t>
        </is>
      </c>
    </row>
    <row r="8">
      <c r="A8" s="8" t="inlineStr">
        <is>
          <t>Data Accessed</t>
        </is>
      </c>
      <c r="B8" s="9" t="inlineStr">
        <is>
          <t>Full PHI extract of about 410,000 patients: name, DOB, address, phone, email, MRN, member ID, ICD-10 diagnoses, medications, vitals and RPM readings, care-plan events, free-text care notes (58 fields)</t>
        </is>
      </c>
    </row>
    <row r="9">
      <c r="A9" s="8" t="inlineStr">
        <is>
          <t>Data Sensitivity</t>
        </is>
      </c>
      <c r="B9" s="9" t="inlineStr">
        <is>
          <t>PHI (regulated). Adds Medicaid member data after SHCA go-live.</t>
        </is>
      </c>
    </row>
    <row r="10">
      <c r="A10" s="8" t="inlineStr">
        <is>
          <t>Integration</t>
        </is>
      </c>
      <c r="B10" s="9" t="inlineStr">
        <is>
          <t>Outbound: nightly SFTP push from wf-sftp-01 (Windows 2012 R2, unsupported) to the vendor landing zone. Inbound: risk scores pulled over HTTPS by API key (svc-qs-api). Portal: 6 Wrenfield user accounts plus 1 API key, local authentication (no SSO).</t>
        </is>
      </c>
    </row>
    <row r="11">
      <c r="A11" s="8" t="inlineStr">
        <is>
          <t>Criticality</t>
        </is>
      </c>
      <c r="B11" s="9" t="inlineStr">
        <is>
          <t>High. Scores drive outreach prioritization. WCP has a rules-based fallback, so an outage degrades quality but does not stop care. Integrity matters: bad scores could mis-rank patients.</t>
        </is>
      </c>
    </row>
    <row r="12">
      <c r="A12" s="8" t="inlineStr">
        <is>
          <t>Geography</t>
        </is>
      </c>
      <c r="B12" s="9" t="inlineStr">
        <is>
          <t>Vendor HQ Denver, CO. Storage in US (cloud region us-east-1). Access includes an offshore subcontractor in Pune, India.</t>
        </is>
      </c>
    </row>
    <row r="13">
      <c r="A13" s="8" t="inlineStr">
        <is>
          <t>Inherent Score</t>
        </is>
      </c>
      <c r="B13" s="9" t="n">
        <v>12</v>
      </c>
    </row>
    <row r="14">
      <c r="A14" s="8" t="inlineStr">
        <is>
          <t>Inherent Rating</t>
        </is>
      </c>
      <c r="B14" s="9" t="inlineStr">
        <is>
          <t>Tier 1, Critical inherent risk</t>
        </is>
      </c>
    </row>
    <row r="15">
      <c r="A15" s="8" t="inlineStr">
        <is>
          <t>Assessment Window</t>
        </is>
      </c>
      <c r="B15" s="9" t="inlineStr">
        <is>
          <t>2026-06-22 to 2026-07-24</t>
        </is>
      </c>
    </row>
    <row r="16">
      <c r="A16" s="8" t="inlineStr">
        <is>
          <t>Assessor Contacts</t>
        </is>
      </c>
      <c r="B16" s="9" t="inlineStr">
        <is>
          <t>Quarrystone CISO (interview 2026-07-14), Head of Data Engineering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6" customWidth="1" min="3" max="3"/>
    <col width="18" customWidth="1" min="4" max="4"/>
    <col width="22" customWidth="1" min="5" max="5"/>
  </cols>
  <sheetData>
    <row r="1" ht="32" customHeight="1">
      <c r="A1" s="7" t="inlineStr">
        <is>
          <t>Subcontractor (fourth party)</t>
        </is>
      </c>
      <c r="B1" s="7" t="inlineStr">
        <is>
          <t>Role</t>
        </is>
      </c>
      <c r="C1" s="7" t="inlineStr">
        <is>
          <t>Location</t>
        </is>
      </c>
      <c r="D1" s="7" t="inlineStr">
        <is>
          <t>In SOC 2 Report?</t>
        </is>
      </c>
      <c r="E1" s="7" t="inlineStr">
        <is>
          <t>Disclosed Initially?</t>
        </is>
      </c>
    </row>
    <row r="2">
      <c r="A2" s="8" t="inlineStr">
        <is>
          <t>Glacierbase Data Cloud (fictional)</t>
        </is>
      </c>
      <c r="B2" s="9" t="inlineStr">
        <is>
          <t>Cloud data warehouse (stores all Wrenfield data)</t>
        </is>
      </c>
      <c r="C2" s="8" t="inlineStr">
        <is>
          <t>US region</t>
        </is>
      </c>
      <c r="D2" s="8" t="inlineStr">
        <is>
          <t>Carved out (subservice organization)</t>
        </is>
      </c>
      <c r="E2" s="8" t="inlineStr">
        <is>
          <t>Yes</t>
        </is>
      </c>
    </row>
    <row r="3">
      <c r="A3" s="8" t="inlineStr">
        <is>
          <t>AWS (vendor's own hosting)</t>
        </is>
      </c>
      <c r="B3" s="9" t="inlineStr">
        <is>
          <t>Ingestion and model hosting</t>
        </is>
      </c>
      <c r="C3" s="8" t="inlineStr">
        <is>
          <t>US region</t>
        </is>
      </c>
      <c r="D3" s="8" t="inlineStr">
        <is>
          <t>Carved out</t>
        </is>
      </c>
      <c r="E3" s="8" t="inlineStr">
        <is>
          <t>Yes</t>
        </is>
      </c>
    </row>
    <row r="4">
      <c r="A4" s="8" t="inlineStr">
        <is>
          <t>Meridian Offshore Data Services Pvt. Ltd. (fictional)</t>
        </is>
      </c>
      <c r="B4" s="9" t="inlineStr">
        <is>
          <t>Data-engineering support: pipeline troubleshooting with production access</t>
        </is>
      </c>
      <c r="C4" s="8" t="inlineStr">
        <is>
          <t>Pune, India</t>
        </is>
      </c>
      <c r="D4" s="8" t="inlineStr">
        <is>
          <t>Not listed</t>
        </is>
      </c>
      <c r="E4" s="8" t="inlineStr">
        <is>
          <t>No (found at interview 2026-07-14)</t>
        </is>
      </c>
    </row>
    <row r="5">
      <c r="A5" s="8" t="inlineStr">
        <is>
          <t>Hollis Helpdesk (fictional)</t>
        </is>
      </c>
      <c r="B5" s="9" t="inlineStr">
        <is>
          <t>Support ticketing (tickets may contain PHI snippets)</t>
        </is>
      </c>
      <c r="C5" s="8" t="inlineStr">
        <is>
          <t>US</t>
        </is>
      </c>
      <c r="D5" s="8" t="inlineStr">
        <is>
          <t>Not listed</t>
        </is>
      </c>
      <c r="E5" s="8" t="inlineStr">
        <is>
          <t>No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4" customWidth="1" min="3" max="3"/>
    <col width="48" customWidth="1" min="4" max="4"/>
    <col width="28" customWidth="1" min="5" max="5"/>
    <col width="21" customWidth="1" min="6" max="6"/>
    <col width="40" customWidth="1" min="7" max="7"/>
    <col width="16" customWidth="1" min="8" max="8"/>
    <col width="48" customWidth="1" min="9" max="9"/>
    <col width="16" customWidth="1" min="10" max="10"/>
    <col width="16" customWidth="1" min="11" max="11"/>
    <col width="16" customWidth="1" min="12" max="12"/>
  </cols>
  <sheetData>
    <row r="1" ht="32" customHeight="1">
      <c r="A1" s="7" t="inlineStr">
        <is>
          <t>Question ID</t>
        </is>
      </c>
      <c r="B1" s="7" t="inlineStr">
        <is>
          <t>Security Domain</t>
        </is>
      </c>
      <c r="C1" s="7" t="inlineStr">
        <is>
          <t>Requirement</t>
        </is>
      </c>
      <c r="D1" s="7" t="inlineStr">
        <is>
          <t>Vendor Response</t>
        </is>
      </c>
      <c r="E1" s="7" t="inlineStr">
        <is>
          <t>Evidence</t>
        </is>
      </c>
      <c r="F1" s="7" t="inlineStr">
        <is>
          <t>Assessor Evaluation</t>
        </is>
      </c>
      <c r="G1" s="7" t="inlineStr">
        <is>
          <t>Risk Identified</t>
        </is>
      </c>
      <c r="H1" s="7" t="inlineStr">
        <is>
          <t>Severity</t>
        </is>
      </c>
      <c r="I1" s="7" t="inlineStr">
        <is>
          <t>Recommendation</t>
        </is>
      </c>
      <c r="J1" s="7" t="inlineStr">
        <is>
          <t>Owner</t>
        </is>
      </c>
      <c r="K1" s="7" t="inlineStr">
        <is>
          <t>Status</t>
        </is>
      </c>
      <c r="L1" s="7" t="inlineStr">
        <is>
          <t>Vendor Finding</t>
        </is>
      </c>
    </row>
    <row r="2">
      <c r="A2" s="8" t="inlineStr">
        <is>
          <t>VQ-01</t>
        </is>
      </c>
      <c r="B2" s="8" t="inlineStr">
        <is>
          <t>Security governance</t>
        </is>
      </c>
      <c r="C2" s="9" t="inlineStr">
        <is>
          <t>Named security leader, approved policy set reviewed annually, executive oversight</t>
        </is>
      </c>
      <c r="D2" s="9" t="inlineStr">
        <is>
          <t>CISO in place since 2022; ISO 27001-aligned policy set reviewed 2026-01; quarterly board security update</t>
        </is>
      </c>
      <c r="E2" s="9" t="inlineStr">
        <is>
          <t>Policy index; org chart</t>
        </is>
      </c>
      <c r="F2" s="8" t="inlineStr">
        <is>
          <t>Satisfactory</t>
        </is>
      </c>
      <c r="G2" s="9" t="inlineStr">
        <is>
          <t>None</t>
        </is>
      </c>
      <c r="H2" s="8" t="inlineStr"/>
      <c r="I2" s="9" t="inlineStr"/>
      <c r="J2" s="8" t="inlineStr"/>
      <c r="K2" s="9" t="inlineStr">
        <is>
          <t>Closed (satisfactory)</t>
        </is>
      </c>
      <c r="L2" s="8" t="inlineStr"/>
    </row>
    <row r="3">
      <c r="A3" s="8" t="inlineStr">
        <is>
          <t>VQ-02</t>
        </is>
      </c>
      <c r="B3" s="8" t="inlineStr">
        <is>
          <t>Risk management</t>
        </is>
      </c>
      <c r="C3" s="9" t="inlineStr">
        <is>
          <t>Annual risk assessment with tracked treatments</t>
        </is>
      </c>
      <c r="D3" s="9" t="inlineStr">
        <is>
          <t>Annual risk assessment (2026-02); risk register maintained</t>
        </is>
      </c>
      <c r="E3" s="9" t="inlineStr">
        <is>
          <t>Risk assessment summary (redacted)</t>
        </is>
      </c>
      <c r="F3" s="8" t="inlineStr">
        <is>
          <t>Satisfactory</t>
        </is>
      </c>
      <c r="G3" s="9" t="inlineStr">
        <is>
          <t>None</t>
        </is>
      </c>
      <c r="H3" s="8" t="inlineStr"/>
      <c r="I3" s="9" t="inlineStr"/>
      <c r="J3" s="8" t="inlineStr"/>
      <c r="K3" s="9" t="inlineStr">
        <is>
          <t>Closed (satisfactory)</t>
        </is>
      </c>
      <c r="L3" s="8" t="inlineStr"/>
    </row>
    <row r="4">
      <c r="A4" s="8" t="inlineStr">
        <is>
          <t>VQ-03</t>
        </is>
      </c>
      <c r="B4" s="8" t="inlineStr">
        <is>
          <t>Certifications and attestations</t>
        </is>
      </c>
      <c r="C4" s="9" t="inlineStr">
        <is>
          <t>Current SOC 2 Type II (or ISO 27001) covering services used</t>
        </is>
      </c>
      <c r="D4" s="9" t="inlineStr">
        <is>
          <t>SOC 2 Type II 2024-10-01 to 2025-09-30; bridge letter to 2026-03-31; next report expected 2026-12</t>
        </is>
      </c>
      <c r="E4" s="9" t="inlineStr">
        <is>
          <t>EVID-050</t>
        </is>
      </c>
      <c r="F4" s="8" t="inlineStr">
        <is>
          <t>Partially Satisfactory</t>
        </is>
      </c>
      <c r="G4" s="9" t="inlineStr">
        <is>
          <t>SOC 2 exceptions (access reviews, change approvals)</t>
        </is>
      </c>
      <c r="H4" s="8" t="inlineStr">
        <is>
          <t>Low</t>
        </is>
      </c>
      <c r="I4" s="9" t="inlineStr">
        <is>
          <t>Monitor: obtain next SOC 2 (expected 2026-12) and confirm exceptions resolved</t>
        </is>
      </c>
      <c r="J4" s="8" t="inlineStr">
        <is>
          <t>Beth Kowalski</t>
        </is>
      </c>
      <c r="K4" s="9" t="inlineStr">
        <is>
          <t>Monitor</t>
        </is>
      </c>
      <c r="L4" s="8" t="inlineStr">
        <is>
          <t>VR-006</t>
        </is>
      </c>
    </row>
    <row r="5">
      <c r="A5" s="8" t="inlineStr">
        <is>
          <t>VQ-04</t>
        </is>
      </c>
      <c r="B5" s="8" t="inlineStr">
        <is>
          <t>Access control</t>
        </is>
      </c>
      <c r="C5" s="9" t="inlineStr">
        <is>
          <t>Timely provisioning/deprovisioning and periodic reviews of staff with customer-data access</t>
        </is>
      </c>
      <c r="D5" s="9" t="inlineStr">
        <is>
          <t>Quarterly reviews; SOC 2 notes 1 of 4 quarters missed (management response: automation added)</t>
        </is>
      </c>
      <c r="E5" s="9" t="inlineStr">
        <is>
          <t>SOC 2 section 4 exception</t>
        </is>
      </c>
      <c r="F5" s="8" t="inlineStr">
        <is>
          <t>Partially Satisfactory</t>
        </is>
      </c>
      <c r="G5" s="9" t="inlineStr">
        <is>
          <t>SOC 2 exceptions (access reviews, change approvals)</t>
        </is>
      </c>
      <c r="H5" s="8" t="inlineStr">
        <is>
          <t>Low</t>
        </is>
      </c>
      <c r="I5" s="9" t="inlineStr">
        <is>
          <t>Monitor: obtain next SOC 2 (expected 2026-12) and confirm exceptions resolved</t>
        </is>
      </c>
      <c r="J5" s="8" t="inlineStr">
        <is>
          <t>Beth Kowalski</t>
        </is>
      </c>
      <c r="K5" s="9" t="inlineStr">
        <is>
          <t>Monitor</t>
        </is>
      </c>
      <c r="L5" s="8" t="inlineStr">
        <is>
          <t>VR-006</t>
        </is>
      </c>
    </row>
    <row r="6">
      <c r="A6" s="8" t="inlineStr">
        <is>
          <t>VQ-05</t>
        </is>
      </c>
      <c r="B6" s="8" t="inlineStr">
        <is>
          <t>Access control</t>
        </is>
      </c>
      <c r="C6" s="9" t="inlineStr">
        <is>
          <t>Least privilege for production customer data</t>
        </is>
      </c>
      <c r="D6" s="9" t="inlineStr">
        <is>
          <t>Role-based; 14 US staff plus the subcontractor team have production read access</t>
        </is>
      </c>
      <c r="E6" s="9" t="inlineStr">
        <is>
          <t>Role list (counts only)</t>
        </is>
      </c>
      <c r="F6" s="8" t="inlineStr">
        <is>
          <t>Partially Satisfactory</t>
        </is>
      </c>
      <c r="G6" s="9" t="inlineStr">
        <is>
          <t>Undisclosed offshore subcontractor with production access to Wrenfield PHI</t>
        </is>
      </c>
      <c r="H6" s="8" t="inlineStr">
        <is>
          <t>Critical</t>
        </is>
      </c>
      <c r="I6" s="9" t="inlineStr">
        <is>
          <t>Immediate suspension of offshore access to Wrenfield data; contract amendment requiring US-only access with technical enforcement (geo-restricted IdP policy, US-only support roster) and access-log attestation quarterly</t>
        </is>
      </c>
      <c r="J6" s="8" t="inlineStr">
        <is>
          <t>Quarrystone CISO / Miriam Castell</t>
        </is>
      </c>
      <c r="K6" s="9" t="inlineStr">
        <is>
          <t>Interim contained (offshore access suspended 2026-07-24); contractual fix open</t>
        </is>
      </c>
      <c r="L6" s="8" t="inlineStr">
        <is>
          <t>VR-001</t>
        </is>
      </c>
    </row>
    <row r="7">
      <c r="A7" s="8" t="inlineStr">
        <is>
          <t>VQ-06</t>
        </is>
      </c>
      <c r="B7" s="8" t="inlineStr">
        <is>
          <t>MFA</t>
        </is>
      </c>
      <c r="C7" s="9" t="inlineStr">
        <is>
          <t>MFA for all workforce and privileged access</t>
        </is>
      </c>
      <c r="D7" s="9" t="inlineStr">
        <is>
          <t>SSO with MFA for all staff; FIDO2 required for admins</t>
        </is>
      </c>
      <c r="E7" s="9" t="inlineStr">
        <is>
          <t>IdP policy screenshot (dated) + SOC 2 CC6.1 no exceptions</t>
        </is>
      </c>
      <c r="F7" s="8" t="inlineStr">
        <is>
          <t>Satisfactory</t>
        </is>
      </c>
      <c r="G7" s="9" t="inlineStr">
        <is>
          <t>None</t>
        </is>
      </c>
      <c r="H7" s="8" t="inlineStr"/>
      <c r="I7" s="9" t="inlineStr"/>
      <c r="J7" s="8" t="inlineStr"/>
      <c r="K7" s="9" t="inlineStr">
        <is>
          <t>Closed (satisfactory)</t>
        </is>
      </c>
      <c r="L7" s="8" t="inlineStr"/>
    </row>
    <row r="8">
      <c r="A8" s="8" t="inlineStr">
        <is>
          <t>VQ-07</t>
        </is>
      </c>
      <c r="B8" s="8" t="inlineStr">
        <is>
          <t>MFA</t>
        </is>
      </c>
      <c r="C8" s="9" t="inlineStr">
        <is>
          <t>Customer portal supports SSO/MFA</t>
        </is>
      </c>
      <c r="D8" s="9" t="inlineStr">
        <is>
          <t>Portal uses local accounts with optional TOTP; SAML SSO available on Enterprise tier only</t>
        </is>
      </c>
      <c r="E8" s="9" t="inlineStr">
        <is>
          <t>Product documentation</t>
        </is>
      </c>
      <c r="F8" s="8" t="inlineStr">
        <is>
          <t>Unsatisfactory</t>
        </is>
      </c>
      <c r="G8" s="9" t="inlineStr">
        <is>
          <t>Wrenfield not performing SOC 2 CUEC for portal user management; no SSO</t>
        </is>
      </c>
      <c r="H8" s="8" t="inlineStr">
        <is>
          <t>Moderate</t>
        </is>
      </c>
      <c r="I8" s="9" t="inlineStr">
        <is>
          <t>Add portal to quarterly certification and JML checklist (done); budget SAML SSO at renewal</t>
        </is>
      </c>
      <c r="J8" s="8" t="inlineStr">
        <is>
          <t>Liam Porter</t>
        </is>
      </c>
      <c r="K8" s="9" t="inlineStr">
        <is>
          <t>Partially remediated (review + JML done; SSO at 2027 renewal)</t>
        </is>
      </c>
      <c r="L8" s="8" t="inlineStr">
        <is>
          <t>VR-007</t>
        </is>
      </c>
    </row>
    <row r="9">
      <c r="A9" s="8" t="inlineStr">
        <is>
          <t>VQ-08</t>
        </is>
      </c>
      <c r="B9" s="8" t="inlineStr">
        <is>
          <t>Encryption</t>
        </is>
      </c>
      <c r="C9" s="9" t="inlineStr">
        <is>
          <t>Encryption in transit (TLS 1.2+ / SFTP)</t>
        </is>
      </c>
      <c r="D9" s="9" t="inlineStr">
        <is>
          <t>SFTP (SSH) inbound; TLS 1.2+ API</t>
        </is>
      </c>
      <c r="E9" s="9" t="inlineStr">
        <is>
          <t>TLS scan by assessor (API endpoint)</t>
        </is>
      </c>
      <c r="F9" s="8" t="inlineStr">
        <is>
          <t>Satisfactory</t>
        </is>
      </c>
      <c r="G9" s="9" t="inlineStr">
        <is>
          <t>None</t>
        </is>
      </c>
      <c r="H9" s="8" t="inlineStr"/>
      <c r="I9" s="9" t="inlineStr"/>
      <c r="J9" s="8" t="inlineStr"/>
      <c r="K9" s="9" t="inlineStr">
        <is>
          <t>Closed (satisfactory)</t>
        </is>
      </c>
      <c r="L9" s="8" t="inlineStr"/>
    </row>
    <row r="10">
      <c r="A10" s="8" t="inlineStr">
        <is>
          <t>VQ-09</t>
        </is>
      </c>
      <c r="B10" s="8" t="inlineStr">
        <is>
          <t>Encryption</t>
        </is>
      </c>
      <c r="C10" s="9" t="inlineStr">
        <is>
          <t>Encryption at rest with managed keys</t>
        </is>
      </c>
      <c r="D10" s="9" t="inlineStr">
        <is>
          <t>AES-256 at rest in warehouse and object storage; cloud KMS; annual rotation</t>
        </is>
      </c>
      <c r="E10" s="9" t="inlineStr">
        <is>
          <t>SOC 2 CC6.1/CC6.7 no exceptions</t>
        </is>
      </c>
      <c r="F10" s="8" t="inlineStr">
        <is>
          <t>Satisfactory</t>
        </is>
      </c>
      <c r="G10" s="9" t="inlineStr">
        <is>
          <t>None</t>
        </is>
      </c>
      <c r="H10" s="8" t="inlineStr"/>
      <c r="I10" s="9" t="inlineStr"/>
      <c r="J10" s="8" t="inlineStr"/>
      <c r="K10" s="9" t="inlineStr">
        <is>
          <t>Closed (satisfactory)</t>
        </is>
      </c>
      <c r="L10" s="8" t="inlineStr"/>
    </row>
    <row r="11">
      <c r="A11" s="8" t="inlineStr">
        <is>
          <t>VQ-10</t>
        </is>
      </c>
      <c r="B11" s="8" t="inlineStr">
        <is>
          <t>Encryption</t>
        </is>
      </c>
      <c r="C11" s="9" t="inlineStr">
        <is>
          <t>Customer data segregation</t>
        </is>
      </c>
      <c r="D11" s="9" t="inlineStr">
        <is>
          <t>Schema-per-client logical separation; shared keys</t>
        </is>
      </c>
      <c r="E11" s="9" t="inlineStr">
        <is>
          <t>Architecture diagram</t>
        </is>
      </c>
      <c r="F11" s="8" t="inlineStr">
        <is>
          <t>Partially Satisfactory</t>
        </is>
      </c>
      <c r="G11" s="9" t="inlineStr">
        <is>
          <t>None</t>
        </is>
      </c>
      <c r="H11" s="8" t="inlineStr"/>
      <c r="I11" s="9" t="inlineStr"/>
      <c r="J11" s="8" t="inlineStr"/>
      <c r="K11" s="9" t="inlineStr">
        <is>
          <t>Closed (satisfactory)</t>
        </is>
      </c>
      <c r="L11" s="8" t="inlineStr"/>
    </row>
    <row r="12">
      <c r="A12" s="8" t="inlineStr">
        <is>
          <t>VQ-11</t>
        </is>
      </c>
      <c r="B12" s="8" t="inlineStr">
        <is>
          <t>Vulnerability management</t>
        </is>
      </c>
      <c r="C12" s="9" t="inlineStr">
        <is>
          <t>Scanning with defined remediation SLAs</t>
        </is>
      </c>
      <c r="D12" s="9" t="inlineStr">
        <is>
          <t>Monthly authenticated scans; Critical 30 days, High 60</t>
        </is>
      </c>
      <c r="E12" s="9" t="inlineStr">
        <is>
          <t>Vulnerability management standard</t>
        </is>
      </c>
      <c r="F12" s="8" t="inlineStr">
        <is>
          <t>Satisfactory</t>
        </is>
      </c>
      <c r="G12" s="9" t="inlineStr">
        <is>
          <t>None</t>
        </is>
      </c>
      <c r="H12" s="8" t="inlineStr"/>
      <c r="I12" s="9" t="inlineStr"/>
      <c r="J12" s="8" t="inlineStr"/>
      <c r="K12" s="9" t="inlineStr">
        <is>
          <t>Closed (satisfactory)</t>
        </is>
      </c>
      <c r="L12" s="8" t="inlineStr"/>
    </row>
    <row r="13">
      <c r="A13" s="8" t="inlineStr">
        <is>
          <t>VQ-12</t>
        </is>
      </c>
      <c r="B13" s="8" t="inlineStr">
        <is>
          <t>Penetration testing</t>
        </is>
      </c>
      <c r="C13" s="9" t="inlineStr">
        <is>
          <t>Annual independent penetration test with retest evidence</t>
        </is>
      </c>
      <c r="D13" s="9" t="inlineStr">
        <is>
          <t>Last external test 2025-03; 1 High finding 'remediated'; summary letter only</t>
        </is>
      </c>
      <c r="E13" s="9" t="inlineStr">
        <is>
          <t>Summary letter; full report requested (EVID-051)</t>
        </is>
      </c>
      <c r="F13" s="8" t="inlineStr">
        <is>
          <t>Unsatisfactory</t>
        </is>
      </c>
      <c r="G13" s="9" t="inlineStr">
        <is>
          <t>Penetration test evidence stale and incomplete</t>
        </is>
      </c>
      <c r="H13" s="8" t="inlineStr">
        <is>
          <t>Moderate</t>
        </is>
      </c>
      <c r="I13" s="9" t="inlineStr">
        <is>
          <t>Provide full report (under NDA) or detailed executive summary with finding list and retest letter; annual testing clause in amendment</t>
        </is>
      </c>
      <c r="J13" s="8" t="inlineStr">
        <is>
          <t>Quarrystone CISO</t>
        </is>
      </c>
      <c r="K13" s="9" t="inlineStr">
        <is>
          <t>Evidence requested (EVID-051, overdue)</t>
        </is>
      </c>
      <c r="L13" s="8" t="inlineStr">
        <is>
          <t>VR-004</t>
        </is>
      </c>
    </row>
    <row r="14">
      <c r="A14" s="8" t="inlineStr">
        <is>
          <t>VQ-13</t>
        </is>
      </c>
      <c r="B14" s="8" t="inlineStr">
        <is>
          <t>Secure development</t>
        </is>
      </c>
      <c r="C14" s="9" t="inlineStr">
        <is>
          <t>SAST, code review, dependency scanning</t>
        </is>
      </c>
      <c r="D14" s="9" t="inlineStr">
        <is>
          <t>SAST and dependency scanning in CI; 2-person review</t>
        </is>
      </c>
      <c r="E14" s="9" t="inlineStr">
        <is>
          <t>SDLC standard</t>
        </is>
      </c>
      <c r="F14" s="8" t="inlineStr">
        <is>
          <t>Satisfactory</t>
        </is>
      </c>
      <c r="G14" s="9" t="inlineStr">
        <is>
          <t>None</t>
        </is>
      </c>
      <c r="H14" s="8" t="inlineStr"/>
      <c r="I14" s="9" t="inlineStr"/>
      <c r="J14" s="8" t="inlineStr"/>
      <c r="K14" s="9" t="inlineStr">
        <is>
          <t>Closed (satisfactory)</t>
        </is>
      </c>
      <c r="L14" s="8" t="inlineStr"/>
    </row>
    <row r="15">
      <c r="A15" s="8" t="inlineStr">
        <is>
          <t>VQ-14</t>
        </is>
      </c>
      <c r="B15" s="8" t="inlineStr">
        <is>
          <t>Supply-chain risk</t>
        </is>
      </c>
      <c r="C15" s="9" t="inlineStr">
        <is>
          <t>SBOM and third-party component governance</t>
        </is>
      </c>
      <c r="D15" s="9" t="inlineStr">
        <is>
          <t>No SBOM produced; dependency scanning only</t>
        </is>
      </c>
      <c r="E15" s="9" t="inlineStr">
        <is>
          <t>Interview</t>
        </is>
      </c>
      <c r="F15" s="8" t="inlineStr">
        <is>
          <t>Partially Satisfactory</t>
        </is>
      </c>
      <c r="G15" s="9" t="inlineStr">
        <is>
          <t>No SBOM for vendor software</t>
        </is>
      </c>
      <c r="H15" s="8" t="inlineStr">
        <is>
          <t>Low</t>
        </is>
      </c>
      <c r="I15" s="9" t="inlineStr">
        <is>
          <t>Request SBOM availability on the roadmap; revisit at 2027 renewal</t>
        </is>
      </c>
      <c r="J15" s="8" t="inlineStr">
        <is>
          <t>Beth Kowalski</t>
        </is>
      </c>
      <c r="K15" s="9" t="inlineStr">
        <is>
          <t>Monitor</t>
        </is>
      </c>
      <c r="L15" s="8" t="inlineStr">
        <is>
          <t>VR-011</t>
        </is>
      </c>
    </row>
    <row r="16">
      <c r="A16" s="8" t="inlineStr">
        <is>
          <t>VQ-15</t>
        </is>
      </c>
      <c r="B16" s="8" t="inlineStr">
        <is>
          <t>Incident response</t>
        </is>
      </c>
      <c r="C16" s="9" t="inlineStr">
        <is>
          <t>Documented IR plan tested annually</t>
        </is>
      </c>
      <c r="D16" s="9" t="inlineStr">
        <is>
          <t>IR plan; tabletop 2026-02</t>
        </is>
      </c>
      <c r="E16" s="9" t="inlineStr">
        <is>
          <t>After-action summary</t>
        </is>
      </c>
      <c r="F16" s="8" t="inlineStr">
        <is>
          <t>Satisfactory</t>
        </is>
      </c>
      <c r="G16" s="9" t="inlineStr">
        <is>
          <t>None</t>
        </is>
      </c>
      <c r="H16" s="8" t="inlineStr"/>
      <c r="I16" s="9" t="inlineStr"/>
      <c r="J16" s="8" t="inlineStr"/>
      <c r="K16" s="9" t="inlineStr">
        <is>
          <t>Closed (satisfactory)</t>
        </is>
      </c>
      <c r="L16" s="8" t="inlineStr"/>
    </row>
    <row r="17">
      <c r="A17" s="8" t="inlineStr">
        <is>
          <t>VQ-16</t>
        </is>
      </c>
      <c r="B17" s="8" t="inlineStr">
        <is>
          <t>Breach notification</t>
        </is>
      </c>
      <c r="C17" s="9" t="inlineStr">
        <is>
          <t>Notify Wrenfield of security incidents affecting its data within 24 hours of discovery</t>
        </is>
      </c>
      <c r="D17" s="9" t="inlineStr">
        <is>
          <t>BAA: 'without unreasonable delay and no later than 30 days'</t>
        </is>
      </c>
      <c r="E17" s="9" t="inlineStr">
        <is>
          <t>BAA §4.2</t>
        </is>
      </c>
      <c r="F17" s="8" t="inlineStr">
        <is>
          <t>Unsatisfactory</t>
        </is>
      </c>
      <c r="G17" s="9" t="inlineStr">
        <is>
          <t>Breach notification term of 30 days</t>
        </is>
      </c>
      <c r="H17" s="8" t="inlineStr">
        <is>
          <t>High</t>
        </is>
      </c>
      <c r="I17" s="9" t="inlineStr">
        <is>
          <t>Amend BAA to 24h notice of suspected or confirmed incidents affecting Wrenfield data, with defined content and updates</t>
        </is>
      </c>
      <c r="J17" s="8" t="inlineStr">
        <is>
          <t>Theo Anand (General Counsel)</t>
        </is>
      </c>
      <c r="K17" s="9" t="inlineStr">
        <is>
          <t>In negotiation (redline v3)</t>
        </is>
      </c>
      <c r="L17" s="8" t="inlineStr">
        <is>
          <t>VR-002</t>
        </is>
      </c>
    </row>
    <row r="18">
      <c r="A18" s="8" t="inlineStr">
        <is>
          <t>VQ-17</t>
        </is>
      </c>
      <c r="B18" s="8" t="inlineStr">
        <is>
          <t>Incident response</t>
        </is>
      </c>
      <c r="C18" s="9" t="inlineStr">
        <is>
          <t>Cooperate with customer investigations, including log provision</t>
        </is>
      </c>
      <c r="D18" s="9" t="inlineStr">
        <is>
          <t>'Reasonable cooperation'; no commitment to provide logs</t>
        </is>
      </c>
      <c r="E18" s="9" t="inlineStr">
        <is>
          <t>MSA §9</t>
        </is>
      </c>
      <c r="F18" s="8" t="inlineStr">
        <is>
          <t>Partially Satisfactory</t>
        </is>
      </c>
      <c r="G18" s="9" t="inlineStr">
        <is>
          <t>Access logs kept 90 days; no commitment to support investigations</t>
        </is>
      </c>
      <c r="H18" s="8" t="inlineStr">
        <is>
          <t>Moderate</t>
        </is>
      </c>
      <c r="I18" s="9" t="inlineStr">
        <is>
          <t>12-month log retention for access to Wrenfield data; contractual log provision within 5 business days of request</t>
        </is>
      </c>
      <c r="J18" s="8" t="inlineStr">
        <is>
          <t>Theo Anand (General Counsel)</t>
        </is>
      </c>
      <c r="K18" s="9" t="inlineStr">
        <is>
          <t>In negotiation</t>
        </is>
      </c>
      <c r="L18" s="8" t="inlineStr">
        <is>
          <t>VR-009</t>
        </is>
      </c>
    </row>
    <row r="19">
      <c r="A19" s="8" t="inlineStr">
        <is>
          <t>VQ-18</t>
        </is>
      </c>
      <c r="B19" s="8" t="inlineStr">
        <is>
          <t>Business continuity</t>
        </is>
      </c>
      <c r="C19" s="9" t="inlineStr">
        <is>
          <t>BC/DR plan with RTO/RPO appropriate to the service</t>
        </is>
      </c>
      <c r="D19" s="9" t="inlineStr">
        <is>
          <t>RTO 72h / RPO 24h; tested 2026-01</t>
        </is>
      </c>
      <c r="E19" s="9" t="inlineStr">
        <is>
          <t>BC/DR summary</t>
        </is>
      </c>
      <c r="F19" s="8" t="inlineStr">
        <is>
          <t>Satisfactory</t>
        </is>
      </c>
      <c r="G19" s="9" t="inlineStr">
        <is>
          <t>None (Acceptable: WCP has a rules-based fallback for scores)</t>
        </is>
      </c>
      <c r="H19" s="8" t="inlineStr"/>
      <c r="I19" s="9" t="inlineStr"/>
      <c r="J19" s="8" t="inlineStr"/>
      <c r="K19" s="9" t="inlineStr">
        <is>
          <t>Closed (satisfactory)</t>
        </is>
      </c>
      <c r="L19" s="8" t="inlineStr"/>
    </row>
    <row r="20">
      <c r="A20" s="8" t="inlineStr">
        <is>
          <t>VQ-19</t>
        </is>
      </c>
      <c r="B20" s="8" t="inlineStr">
        <is>
          <t>Backups</t>
        </is>
      </c>
      <c r="C20" s="9" t="inlineStr">
        <is>
          <t>Backups with immutability and restore testing</t>
        </is>
      </c>
      <c r="D20" s="9" t="inlineStr">
        <is>
          <t>Daily backups, 30-day retention, immutable; restore tested 2026-01</t>
        </is>
      </c>
      <c r="E20" s="9" t="inlineStr">
        <is>
          <t>SOC 2 A1.2 no exceptions</t>
        </is>
      </c>
      <c r="F20" s="8" t="inlineStr">
        <is>
          <t>Satisfactory</t>
        </is>
      </c>
      <c r="G20" s="9" t="inlineStr">
        <is>
          <t>None</t>
        </is>
      </c>
      <c r="H20" s="8" t="inlineStr"/>
      <c r="I20" s="9" t="inlineStr"/>
      <c r="J20" s="8" t="inlineStr"/>
      <c r="K20" s="9" t="inlineStr">
        <is>
          <t>Closed (satisfactory)</t>
        </is>
      </c>
      <c r="L20" s="8" t="inlineStr"/>
    </row>
    <row r="21">
      <c r="A21" s="8" t="inlineStr">
        <is>
          <t>VQ-20</t>
        </is>
      </c>
      <c r="B21" s="8" t="inlineStr">
        <is>
          <t>Logging</t>
        </is>
      </c>
      <c r="C21" s="9" t="inlineStr">
        <is>
          <t>Log access to customer data; retain at least 12 months</t>
        </is>
      </c>
      <c r="D21" s="9" t="inlineStr">
        <is>
          <t>Access logs retained 90 days</t>
        </is>
      </c>
      <c r="E21" s="9" t="inlineStr">
        <is>
          <t>Interview</t>
        </is>
      </c>
      <c r="F21" s="8" t="inlineStr">
        <is>
          <t>Partially Satisfactory</t>
        </is>
      </c>
      <c r="G21" s="9" t="inlineStr">
        <is>
          <t>Access logs kept 90 days; no commitment to support investigations</t>
        </is>
      </c>
      <c r="H21" s="8" t="inlineStr">
        <is>
          <t>Moderate</t>
        </is>
      </c>
      <c r="I21" s="9" t="inlineStr">
        <is>
          <t>12-month log retention for access to Wrenfield data; contractual log provision within 5 business days of request</t>
        </is>
      </c>
      <c r="J21" s="8" t="inlineStr">
        <is>
          <t>Theo Anand (General Counsel)</t>
        </is>
      </c>
      <c r="K21" s="9" t="inlineStr">
        <is>
          <t>In negotiation</t>
        </is>
      </c>
      <c r="L21" s="8" t="inlineStr">
        <is>
          <t>VR-009</t>
        </is>
      </c>
    </row>
    <row r="22">
      <c r="A22" s="8" t="inlineStr">
        <is>
          <t>VQ-21</t>
        </is>
      </c>
      <c r="B22" s="8" t="inlineStr">
        <is>
          <t>Privacy</t>
        </is>
      </c>
      <c r="C22" s="9" t="inlineStr">
        <is>
          <t>Receive only data needed for the service (minimum necessary)</t>
        </is>
      </c>
      <c r="D22" s="9" t="inlineStr">
        <is>
          <t>Model uses 31 of 58 fields; address, phone, email, free-text notes unused but received</t>
        </is>
      </c>
      <c r="E22" s="9" t="inlineStr">
        <is>
          <t>Feature list from Head of Data Engineering</t>
        </is>
      </c>
      <c r="F22" s="8" t="inlineStr">
        <is>
          <t>Unsatisfactory</t>
        </is>
      </c>
      <c r="G22" s="9" t="inlineStr">
        <is>
          <t>Extract exceeds minimum necessary (27 of 58 fields unused)</t>
        </is>
      </c>
      <c r="H22" s="8" t="inlineStr">
        <is>
          <t>High</t>
        </is>
      </c>
      <c r="I22" s="9" t="inlineStr">
        <is>
          <t>Redesign extract to 31 required fields; replace direct identifiers with tokenized IDs; re-validate model on minimized data</t>
        </is>
      </c>
      <c r="J22" s="8" t="inlineStr">
        <is>
          <t>Liam Porter (Data Engineering)</t>
        </is>
      </c>
      <c r="K22" s="9" t="inlineStr">
        <is>
          <t>In progress (target 2026-10-16)</t>
        </is>
      </c>
      <c r="L22" s="8" t="inlineStr">
        <is>
          <t>VR-003</t>
        </is>
      </c>
    </row>
    <row r="23">
      <c r="A23" s="8" t="inlineStr">
        <is>
          <t>VQ-22</t>
        </is>
      </c>
      <c r="B23" s="8" t="inlineStr">
        <is>
          <t>Privacy</t>
        </is>
      </c>
      <c r="C23" s="9" t="inlineStr">
        <is>
          <t>No secondary use of Wrenfield data without written permission</t>
        </is>
      </c>
      <c r="D23" s="9" t="inlineStr">
        <is>
          <t>De-identified (Safe Harbor) pooled data used to improve cross-client models, per vendor MSA §12</t>
        </is>
      </c>
      <c r="E23" s="9" t="inlineStr">
        <is>
          <t>MSA §12; de-identification procedure</t>
        </is>
      </c>
      <c r="F23" s="8" t="inlineStr">
        <is>
          <t>Partially Satisfactory</t>
        </is>
      </c>
      <c r="G23" s="9" t="inlineStr">
        <is>
          <t>Secondary use of pooled de-identified data</t>
        </is>
      </c>
      <c r="H23" s="8" t="inlineStr">
        <is>
          <t>Moderate</t>
        </is>
      </c>
      <c r="I23" s="9" t="inlineStr">
        <is>
          <t>General Counsel opinion; either opt Wrenfield data out of pooling or confirm customer BAAs permit it and disclose</t>
        </is>
      </c>
      <c r="J23" s="8" t="inlineStr">
        <is>
          <t>Theo Anand (General Counsel)</t>
        </is>
      </c>
      <c r="K23" s="9" t="inlineStr">
        <is>
          <t>Legal review in progress</t>
        </is>
      </c>
      <c r="L23" s="8" t="inlineStr">
        <is>
          <t>VR-010</t>
        </is>
      </c>
    </row>
    <row r="24">
      <c r="A24" s="8" t="inlineStr">
        <is>
          <t>VQ-23</t>
        </is>
      </c>
      <c r="B24" s="8" t="inlineStr">
        <is>
          <t>Data location</t>
        </is>
      </c>
      <c r="C24" s="9" t="inlineStr">
        <is>
          <t>US-only storage AND access (SHCA CSA §6.1; 2 customer BAAs)</t>
        </is>
      </c>
      <c r="D24" s="9" t="inlineStr">
        <is>
          <t>Storage in US region. Initially answered 'US staff only'; interview revealed offshore subcontractor production access</t>
        </is>
      </c>
      <c r="E24" s="9" t="inlineStr">
        <is>
          <t>Interview 2026-07-14; subcontractor agreement</t>
        </is>
      </c>
      <c r="F24" s="8" t="inlineStr">
        <is>
          <t>Unsatisfactory</t>
        </is>
      </c>
      <c r="G24" s="9" t="inlineStr">
        <is>
          <t>Undisclosed offshore subcontractor with production access to Wrenfield PHI</t>
        </is>
      </c>
      <c r="H24" s="8" t="inlineStr">
        <is>
          <t>Critical</t>
        </is>
      </c>
      <c r="I24" s="9" t="inlineStr">
        <is>
          <t>Immediate suspension of offshore access to Wrenfield data; contract amendment requiring US-only access with technical enforcement (geo-restricted IdP policy, US-only support roster) and access-log attestation quarterly</t>
        </is>
      </c>
      <c r="J24" s="8" t="inlineStr">
        <is>
          <t>Quarrystone CISO / Miriam Castell</t>
        </is>
      </c>
      <c r="K24" s="9" t="inlineStr">
        <is>
          <t>Interim contained (offshore access suspended 2026-07-24); contractual fix open</t>
        </is>
      </c>
      <c r="L24" s="8" t="inlineStr">
        <is>
          <t>VR-001</t>
        </is>
      </c>
    </row>
    <row r="25">
      <c r="A25" s="8" t="inlineStr">
        <is>
          <t>VQ-24</t>
        </is>
      </c>
      <c r="B25" s="8" t="inlineStr">
        <is>
          <t>Privacy</t>
        </is>
      </c>
      <c r="C25" s="9" t="inlineStr">
        <is>
          <t>Documented de-identification method</t>
        </is>
      </c>
      <c r="D25" s="9" t="inlineStr">
        <is>
          <t>HIPAA Safe Harbor procedure, annual review</t>
        </is>
      </c>
      <c r="E25" s="9" t="inlineStr">
        <is>
          <t>Procedure document</t>
        </is>
      </c>
      <c r="F25" s="8" t="inlineStr">
        <is>
          <t>Satisfactory</t>
        </is>
      </c>
      <c r="G25" s="9" t="inlineStr">
        <is>
          <t>None</t>
        </is>
      </c>
      <c r="H25" s="8" t="inlineStr"/>
      <c r="I25" s="9" t="inlineStr"/>
      <c r="J25" s="8" t="inlineStr"/>
      <c r="K25" s="9" t="inlineStr">
        <is>
          <t>Closed (satisfactory)</t>
        </is>
      </c>
      <c r="L25" s="8" t="inlineStr"/>
    </row>
    <row r="26">
      <c r="A26" s="8" t="inlineStr">
        <is>
          <t>VQ-25</t>
        </is>
      </c>
      <c r="B26" s="8" t="inlineStr">
        <is>
          <t>Data retention</t>
        </is>
      </c>
      <c r="C26" s="9" t="inlineStr">
        <is>
          <t>Defined retention for raw and derived data</t>
        </is>
      </c>
      <c r="D26" s="9" t="inlineStr">
        <is>
          <t>Raw extracts 90 days; derived features and models retained indefinitely</t>
        </is>
      </c>
      <c r="E26" s="9" t="inlineStr">
        <is>
          <t>Retention schedule</t>
        </is>
      </c>
      <c r="F26" s="8" t="inlineStr">
        <is>
          <t>Partially Satisfactory</t>
        </is>
      </c>
      <c r="G26" s="9" t="inlineStr">
        <is>
          <t>Data retention and return/destruction undefined</t>
        </is>
      </c>
      <c r="H26" s="8" t="inlineStr">
        <is>
          <t>Moderate</t>
        </is>
      </c>
      <c r="I26" s="9" t="inlineStr">
        <is>
          <t>Return/destroy within 30 days of termination with certificate; derived features deleted or contractually de-identified; retention schedule appended to MSA</t>
        </is>
      </c>
      <c r="J26" s="8" t="inlineStr">
        <is>
          <t>Theo Anand (General Counsel)</t>
        </is>
      </c>
      <c r="K26" s="9" t="inlineStr">
        <is>
          <t>In negotiation</t>
        </is>
      </c>
      <c r="L26" s="8" t="inlineStr">
        <is>
          <t>VR-005</t>
        </is>
      </c>
    </row>
    <row r="27">
      <c r="A27" s="8" t="inlineStr">
        <is>
          <t>VQ-26</t>
        </is>
      </c>
      <c r="B27" s="8" t="inlineStr">
        <is>
          <t>Termination and data return</t>
        </is>
      </c>
      <c r="C27" s="9" t="inlineStr">
        <is>
          <t>Return and destroy data within 30 days of termination with certificate</t>
        </is>
      </c>
      <c r="D27" s="9" t="inlineStr">
        <is>
          <t>'Upon request'; no timeframe or certificate</t>
        </is>
      </c>
      <c r="E27" s="9" t="inlineStr">
        <is>
          <t>MSA §15</t>
        </is>
      </c>
      <c r="F27" s="8" t="inlineStr">
        <is>
          <t>Unsatisfactory</t>
        </is>
      </c>
      <c r="G27" s="9" t="inlineStr">
        <is>
          <t>Data retention and return/destruction undefined</t>
        </is>
      </c>
      <c r="H27" s="8" t="inlineStr">
        <is>
          <t>Moderate</t>
        </is>
      </c>
      <c r="I27" s="9" t="inlineStr">
        <is>
          <t>Return/destroy within 30 days of termination with certificate; derived features deleted or contractually de-identified; retention schedule appended to MSA</t>
        </is>
      </c>
      <c r="J27" s="8" t="inlineStr">
        <is>
          <t>Theo Anand (General Counsel)</t>
        </is>
      </c>
      <c r="K27" s="9" t="inlineStr">
        <is>
          <t>In negotiation</t>
        </is>
      </c>
      <c r="L27" s="8" t="inlineStr">
        <is>
          <t>VR-005</t>
        </is>
      </c>
    </row>
    <row r="28">
      <c r="A28" s="8" t="inlineStr">
        <is>
          <t>VQ-27</t>
        </is>
      </c>
      <c r="B28" s="8" t="inlineStr">
        <is>
          <t>Subcontractors</t>
        </is>
      </c>
      <c r="C28" s="9" t="inlineStr">
        <is>
          <t>Complete list of subcontractors with access to Wrenfield data</t>
        </is>
      </c>
      <c r="D28" s="9" t="inlineStr">
        <is>
          <t>Initially listed 2 (cloud warehouse, cloud host); 4 identified after SOC 2 review and interview</t>
        </is>
      </c>
      <c r="E28" s="9" t="inlineStr">
        <is>
          <t>Questionnaire v1 vs interview notes</t>
        </is>
      </c>
      <c r="F28" s="8" t="inlineStr">
        <is>
          <t>Unsatisfactory</t>
        </is>
      </c>
      <c r="G28" s="9" t="inlineStr">
        <is>
          <t>Incomplete subcontractor disclosure; no notice of new subcontractors</t>
        </is>
      </c>
      <c r="H28" s="8" t="inlineStr">
        <is>
          <t>Moderate</t>
        </is>
      </c>
      <c r="I28" s="9" t="inlineStr">
        <is>
          <t>Complete subcontractor schedule in amendment; 30-day advance notice and right to object; SHCA approval workflow</t>
        </is>
      </c>
      <c r="J28" s="8" t="inlineStr">
        <is>
          <t>Theo Anand (General Counsel)</t>
        </is>
      </c>
      <c r="K28" s="9" t="inlineStr">
        <is>
          <t>In negotiation</t>
        </is>
      </c>
      <c r="L28" s="8" t="inlineStr">
        <is>
          <t>VR-008</t>
        </is>
      </c>
    </row>
    <row r="29">
      <c r="A29" s="8" t="inlineStr">
        <is>
          <t>VQ-28</t>
        </is>
      </c>
      <c r="B29" s="8" t="inlineStr">
        <is>
          <t>Subcontractors</t>
        </is>
      </c>
      <c r="C29" s="9" t="inlineStr">
        <is>
          <t>BAA and security flow-down to every subcontractor</t>
        </is>
      </c>
      <c r="D29" s="9" t="inlineStr">
        <is>
          <t>BAAs with warehouse and offshore firm; offshore agreement lacks data-location restriction</t>
        </is>
      </c>
      <c r="E29" s="9" t="inlineStr">
        <is>
          <t>Subcontractor agreement excerpts</t>
        </is>
      </c>
      <c r="F29" s="8" t="inlineStr">
        <is>
          <t>Partially Satisfactory</t>
        </is>
      </c>
      <c r="G29" s="9" t="inlineStr">
        <is>
          <t>Undisclosed offshore subcontractor with production access to Wrenfield PHI</t>
        </is>
      </c>
      <c r="H29" s="8" t="inlineStr">
        <is>
          <t>Critical</t>
        </is>
      </c>
      <c r="I29" s="9" t="inlineStr">
        <is>
          <t>Immediate suspension of offshore access to Wrenfield data; contract amendment requiring US-only access with technical enforcement (geo-restricted IdP policy, US-only support roster) and access-log attestation quarterly</t>
        </is>
      </c>
      <c r="J29" s="8" t="inlineStr">
        <is>
          <t>Quarrystone CISO / Miriam Castell</t>
        </is>
      </c>
      <c r="K29" s="9" t="inlineStr">
        <is>
          <t>Interim contained (offshore access suspended 2026-07-24); contractual fix open</t>
        </is>
      </c>
      <c r="L29" s="8" t="inlineStr">
        <is>
          <t>VR-001</t>
        </is>
      </c>
    </row>
    <row r="30">
      <c r="A30" s="8" t="inlineStr">
        <is>
          <t>VQ-29</t>
        </is>
      </c>
      <c r="B30" s="8" t="inlineStr">
        <is>
          <t>Subcontractors</t>
        </is>
      </c>
      <c r="C30" s="9" t="inlineStr">
        <is>
          <t>Advance notice and right to object to new subcontractors</t>
        </is>
      </c>
      <c r="D30" s="9" t="inlineStr">
        <is>
          <t>No notice provision</t>
        </is>
      </c>
      <c r="E30" s="9" t="inlineStr">
        <is>
          <t>MSA</t>
        </is>
      </c>
      <c r="F30" s="8" t="inlineStr">
        <is>
          <t>Unsatisfactory</t>
        </is>
      </c>
      <c r="G30" s="9" t="inlineStr">
        <is>
          <t>Incomplete subcontractor disclosure; no notice of new subcontractors</t>
        </is>
      </c>
      <c r="H30" s="8" t="inlineStr">
        <is>
          <t>Moderate</t>
        </is>
      </c>
      <c r="I30" s="9" t="inlineStr">
        <is>
          <t>Complete subcontractor schedule in amendment; 30-day advance notice and right to object; SHCA approval workflow</t>
        </is>
      </c>
      <c r="J30" s="8" t="inlineStr">
        <is>
          <t>Theo Anand (General Counsel)</t>
        </is>
      </c>
      <c r="K30" s="9" t="inlineStr">
        <is>
          <t>In negotiation</t>
        </is>
      </c>
      <c r="L30" s="8" t="inlineStr">
        <is>
          <t>VR-008</t>
        </is>
      </c>
    </row>
    <row r="31">
      <c r="A31" s="8" t="inlineStr">
        <is>
          <t>VQ-30</t>
        </is>
      </c>
      <c r="B31" s="8" t="inlineStr">
        <is>
          <t>Personnel security</t>
        </is>
      </c>
      <c r="C31" s="9" t="inlineStr">
        <is>
          <t>Background checks for staff with data access</t>
        </is>
      </c>
      <c r="D31" s="9" t="inlineStr">
        <is>
          <t>US staff screened; subcontractor staff screened by subcontractor under local law</t>
        </is>
      </c>
      <c r="E31" s="9" t="inlineStr">
        <is>
          <t>HR policy; subcontractor attestation</t>
        </is>
      </c>
      <c r="F31" s="8" t="inlineStr">
        <is>
          <t>Partially Satisfactory</t>
        </is>
      </c>
      <c r="G31" s="9" t="inlineStr">
        <is>
          <t>Undisclosed offshore subcontractor with production access to Wrenfield PHI</t>
        </is>
      </c>
      <c r="H31" s="8" t="inlineStr">
        <is>
          <t>Critical</t>
        </is>
      </c>
      <c r="I31" s="9" t="inlineStr">
        <is>
          <t>Immediate suspension of offshore access to Wrenfield data; contract amendment requiring US-only access with technical enforcement (geo-restricted IdP policy, US-only support roster) and access-log attestation quarterly</t>
        </is>
      </c>
      <c r="J31" s="8" t="inlineStr">
        <is>
          <t>Quarrystone CISO / Miriam Castell</t>
        </is>
      </c>
      <c r="K31" s="9" t="inlineStr">
        <is>
          <t>Interim contained (offshore access suspended 2026-07-24); contractual fix open</t>
        </is>
      </c>
      <c r="L31" s="8" t="inlineStr">
        <is>
          <t>VR-001</t>
        </is>
      </c>
    </row>
    <row r="32">
      <c r="A32" s="8" t="inlineStr">
        <is>
          <t>VQ-31</t>
        </is>
      </c>
      <c r="B32" s="8" t="inlineStr">
        <is>
          <t>Personnel security</t>
        </is>
      </c>
      <c r="C32" s="9" t="inlineStr">
        <is>
          <t>Annual security and HIPAA training</t>
        </is>
      </c>
      <c r="D32" s="9" t="inlineStr">
        <is>
          <t>Annual training; 98% completion</t>
        </is>
      </c>
      <c r="E32" s="9" t="inlineStr">
        <is>
          <t>LMS summary</t>
        </is>
      </c>
      <c r="F32" s="8" t="inlineStr">
        <is>
          <t>Satisfactory</t>
        </is>
      </c>
      <c r="G32" s="9" t="inlineStr">
        <is>
          <t>None</t>
        </is>
      </c>
      <c r="H32" s="8" t="inlineStr"/>
      <c r="I32" s="9" t="inlineStr"/>
      <c r="J32" s="8" t="inlineStr"/>
      <c r="K32" s="9" t="inlineStr">
        <is>
          <t>Closed (satisfactory)</t>
        </is>
      </c>
      <c r="L32" s="8" t="inlineStr"/>
    </row>
    <row r="33">
      <c r="A33" s="8" t="inlineStr">
        <is>
          <t>VQ-32</t>
        </is>
      </c>
      <c r="B33" s="8" t="inlineStr">
        <is>
          <t>Risk transfer</t>
        </is>
      </c>
      <c r="C33" s="9" t="inlineStr">
        <is>
          <t>Cyber liability insurance adequate to data volume</t>
        </is>
      </c>
      <c r="D33" s="9" t="inlineStr">
        <is>
          <t>$5M cyber policy</t>
        </is>
      </c>
      <c r="E33" s="9" t="inlineStr">
        <is>
          <t>Certificate of insurance</t>
        </is>
      </c>
      <c r="F33" s="8" t="inlineStr">
        <is>
          <t>Satisfactory</t>
        </is>
      </c>
      <c r="G33" s="9" t="inlineStr">
        <is>
          <t>None ($5M may be light for about 410k records; considered in the Transfer decision)</t>
        </is>
      </c>
      <c r="H33" s="8" t="inlineStr"/>
      <c r="I33" s="9" t="inlineStr"/>
      <c r="J33" s="8" t="inlineStr"/>
      <c r="K33" s="9" t="inlineStr">
        <is>
          <t>Closed (satisfactory)</t>
        </is>
      </c>
      <c r="L33" s="8" t="inlineStr"/>
    </row>
    <row r="34">
      <c r="A34" s="8" t="inlineStr">
        <is>
          <t>VQ-33</t>
        </is>
      </c>
      <c r="B34" s="8" t="inlineStr">
        <is>
          <t>Change management</t>
        </is>
      </c>
      <c r="C34" s="9" t="inlineStr">
        <is>
          <t>Changes approved and tested before production</t>
        </is>
      </c>
      <c r="D34" s="9" t="inlineStr">
        <is>
          <t>SOC 2 notes 2 of 40 changes lacked approval (remediated)</t>
        </is>
      </c>
      <c r="E34" s="9" t="inlineStr">
        <is>
          <t>SOC 2 CC8.1 exception</t>
        </is>
      </c>
      <c r="F34" s="8" t="inlineStr">
        <is>
          <t>Partially Satisfactory</t>
        </is>
      </c>
      <c r="G34" s="9" t="inlineStr">
        <is>
          <t>SOC 2 exceptions (access reviews, change approvals)</t>
        </is>
      </c>
      <c r="H34" s="8" t="inlineStr">
        <is>
          <t>Low</t>
        </is>
      </c>
      <c r="I34" s="9" t="inlineStr">
        <is>
          <t>Monitor: obtain next SOC 2 (expected 2026-12) and confirm exceptions resolved</t>
        </is>
      </c>
      <c r="J34" s="8" t="inlineStr">
        <is>
          <t>Beth Kowalski</t>
        </is>
      </c>
      <c r="K34" s="9" t="inlineStr">
        <is>
          <t>Monitor</t>
        </is>
      </c>
      <c r="L34" s="8" t="inlineStr">
        <is>
          <t>VR-006</t>
        </is>
      </c>
    </row>
    <row r="35">
      <c r="A35" s="8" t="inlineStr">
        <is>
          <t>VQ-34</t>
        </is>
      </c>
      <c r="B35" s="8" t="inlineStr">
        <is>
          <t>Physical security</t>
        </is>
      </c>
      <c r="C35" s="9" t="inlineStr">
        <is>
          <t>Physical security of facilities hosting data</t>
        </is>
      </c>
      <c r="D35" s="9" t="inlineStr">
        <is>
          <t>Inherited from cloud providers (SOC 2 carve-out)</t>
        </is>
      </c>
      <c r="E35" s="9" t="inlineStr">
        <is>
          <t>SOC 2 subservice section</t>
        </is>
      </c>
      <c r="F35" s="8" t="inlineStr">
        <is>
          <t>Satisfactory</t>
        </is>
      </c>
      <c r="G35" s="9" t="inlineStr">
        <is>
          <t>None (Reliance on subservice organizations noted)</t>
        </is>
      </c>
      <c r="H35" s="8" t="inlineStr"/>
      <c r="I35" s="9" t="inlineStr"/>
      <c r="J35" s="8" t="inlineStr"/>
      <c r="K35" s="9" t="inlineStr">
        <is>
          <t>Closed (satisfactory)</t>
        </is>
      </c>
      <c r="L35" s="8" t="inlineStr"/>
    </row>
    <row r="36">
      <c r="A36" s="8" t="inlineStr">
        <is>
          <t>VQ-35</t>
        </is>
      </c>
      <c r="B36" s="8" t="inlineStr">
        <is>
          <t>Data transfer</t>
        </is>
      </c>
      <c r="C36" s="9" t="inlineStr">
        <is>
          <t>Secure, supported transfer mechanism from Wrenfield</t>
        </is>
      </c>
      <c r="D36" s="9" t="inlineStr">
        <is>
          <t>Vendor receives via SFTP from Wrenfield's wf-sftp-01 (Wrenfield-side, unsupported OS)</t>
        </is>
      </c>
      <c r="E36" s="9" t="inlineStr">
        <is>
          <t>Data Sharing Spec v2</t>
        </is>
      </c>
      <c r="F36" s="8" t="inlineStr">
        <is>
          <t>Unsatisfactory</t>
        </is>
      </c>
      <c r="G36" s="9" t="inlineStr">
        <is>
          <t>Extract transferred from an unsupported Wrenfield host</t>
        </is>
      </c>
      <c r="H36" s="8" t="inlineStr">
        <is>
          <t>Moderate</t>
        </is>
      </c>
      <c r="I36" s="9" t="inlineStr">
        <is>
          <t>Managed transfer service (POAM-011) with PGP-encrypted files</t>
        </is>
      </c>
      <c r="J36" s="8" t="inlineStr">
        <is>
          <t>Tomasz Wierzbicki</t>
        </is>
      </c>
      <c r="K36" s="9" t="inlineStr">
        <is>
          <t>In progress (delayed; POAM-011)</t>
        </is>
      </c>
      <c r="L36" s="8" t="inlineStr">
        <is>
          <t>VR-012</t>
        </is>
      </c>
    </row>
    <row r="37">
      <c r="A37" s="8" t="inlineStr">
        <is>
          <t>VQ-36</t>
        </is>
      </c>
      <c r="B37" s="8" t="inlineStr">
        <is>
          <t>Assurance cooperation</t>
        </is>
      </c>
      <c r="C37" s="9" t="inlineStr">
        <is>
          <t>Right to assess; annual questionnaire; evidence on request</t>
        </is>
      </c>
      <c r="D37" s="9" t="inlineStr">
        <is>
          <t>Annual questionnaire; on-site with 30 days notice</t>
        </is>
      </c>
      <c r="E37" s="9" t="inlineStr">
        <is>
          <t>MSA §10</t>
        </is>
      </c>
      <c r="F37" s="8" t="inlineStr">
        <is>
          <t>Satisfactory</t>
        </is>
      </c>
      <c r="G37" s="9" t="inlineStr">
        <is>
          <t>None</t>
        </is>
      </c>
      <c r="H37" s="8" t="inlineStr"/>
      <c r="I37" s="9" t="inlineStr"/>
      <c r="J37" s="8" t="inlineStr"/>
      <c r="K37" s="9" t="inlineStr">
        <is>
          <t>Closed (satisfactory)</t>
        </is>
      </c>
      <c r="L37" s="8" t="inlineStr"/>
    </row>
  </sheetData>
  <autoFilter ref="A1:L37"/>
  <conditionalFormatting sqref="H2:H237">
    <cfRule type="expression" priority="1" dxfId="0">
      <formula>H2="Critical"</formula>
    </cfRule>
    <cfRule type="expression" priority="2" dxfId="1">
      <formula>H2="High"</formula>
    </cfRule>
    <cfRule type="expression" priority="3" dxfId="2">
      <formula>H2="Moderate"</formula>
    </cfRule>
    <cfRule type="expression" priority="4" dxfId="3">
      <formula>H2="Low"</formula>
    </cfRule>
  </conditionalFormatting>
  <dataValidations count="1">
    <dataValidation sqref="F2:F237" showDropDown="0" showInputMessage="0" showErrorMessage="1" allowBlank="1" errorTitle="Controlled value" error="Choose a value from the list (controlled vocabulary)." type="list">
      <formula1>"Satisfactory,Partially Satisfactory,Unsatisfactory,Not Applicable"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9" customWidth="1" min="4" max="4"/>
    <col width="16" customWidth="1" min="5" max="5"/>
    <col width="60" customWidth="1" min="6" max="6"/>
    <col width="50" customWidth="1" min="7" max="7"/>
    <col width="16" customWidth="1" min="8" max="8"/>
    <col width="34" customWidth="1" min="9" max="9"/>
    <col width="16" customWidth="1" min="10" max="10"/>
    <col width="34" customWidth="1" min="11" max="11"/>
  </cols>
  <sheetData>
    <row r="1" ht="32" customHeight="1">
      <c r="A1" s="7" t="inlineStr">
        <is>
          <t>VR ID</t>
        </is>
      </c>
      <c r="B1" s="7" t="inlineStr">
        <is>
          <t>Title</t>
        </is>
      </c>
      <c r="C1" s="7" t="inlineStr">
        <is>
          <t>Severity</t>
        </is>
      </c>
      <c r="D1" s="7" t="inlineStr">
        <is>
          <t>Party Responsible</t>
        </is>
      </c>
      <c r="E1" s="7" t="inlineStr">
        <is>
          <t>Questions</t>
        </is>
      </c>
      <c r="F1" s="7" t="inlineStr">
        <is>
          <t>Description</t>
        </is>
      </c>
      <c r="G1" s="7" t="inlineStr">
        <is>
          <t>Recommendation</t>
        </is>
      </c>
      <c r="H1" s="7" t="inlineStr">
        <is>
          <t>Owner</t>
        </is>
      </c>
      <c r="I1" s="7" t="inlineStr">
        <is>
          <t>Status</t>
        </is>
      </c>
      <c r="J1" s="7" t="inlineStr">
        <is>
          <t>Related Finding</t>
        </is>
      </c>
      <c r="K1" s="7" t="inlineStr">
        <is>
          <t>Escalation</t>
        </is>
      </c>
    </row>
    <row r="2">
      <c r="A2" s="8" t="inlineStr">
        <is>
          <t>VR-001</t>
        </is>
      </c>
      <c r="B2" s="9" t="inlineStr">
        <is>
          <t>Undisclosed offshore subcontractor with production access to Wrenfield PHI</t>
        </is>
      </c>
      <c r="C2" s="8" t="inlineStr">
        <is>
          <t>Critical</t>
        </is>
      </c>
      <c r="D2" s="8" t="inlineStr">
        <is>
          <t>Vendor</t>
        </is>
      </c>
      <c r="E2" s="8" t="inlineStr">
        <is>
          <t>VQ-05, VQ-23, VQ-28, VQ-30</t>
        </is>
      </c>
      <c r="F2" s="9" t="inlineStr">
        <is>
          <t>Meridian Offshore Data Services (Pune) performs pipeline troubleshooting with production read access to Wrenfield's full PHI dataset. Conflicts with SHCA CSA §6.1 (for SHCA data) and 2 current customer BAAs (incl. Lakemont) that prohibit offshore access.</t>
        </is>
      </c>
      <c r="G2" s="9" t="inlineStr">
        <is>
          <t>Immediate suspension of offshore access to Wrenfield data; contract amendment requiring US-only access with technical enforcement (geo-restricted IdP policy, US-only support roster) and access-log attestation quarterly</t>
        </is>
      </c>
      <c r="H2" s="8" t="inlineStr">
        <is>
          <t>Quarrystone CISO / Miriam Castell</t>
        </is>
      </c>
      <c r="I2" s="9" t="inlineStr">
        <is>
          <t>Interim contained (offshore access suspended 2026-07-24); contractual fix open</t>
        </is>
      </c>
      <c r="J2" s="8" t="inlineStr">
        <is>
          <t>FIND-016</t>
        </is>
      </c>
      <c r="K2" s="9" t="inlineStr">
        <is>
          <t>CEO notified 2026-07-17 (Critical = outside appetite; 5-business-day rule met)</t>
        </is>
      </c>
    </row>
    <row r="3">
      <c r="A3" s="8" t="inlineStr">
        <is>
          <t>VR-002</t>
        </is>
      </c>
      <c r="B3" s="9" t="inlineStr">
        <is>
          <t>Breach notification term of 30 days</t>
        </is>
      </c>
      <c r="C3" s="8" t="inlineStr">
        <is>
          <t>High</t>
        </is>
      </c>
      <c r="D3" s="8" t="inlineStr">
        <is>
          <t>Vendor</t>
        </is>
      </c>
      <c r="E3" s="8" t="inlineStr">
        <is>
          <t>VQ-16</t>
        </is>
      </c>
      <c r="F3" s="9" t="inlineStr">
        <is>
          <t>BAA allows up to 30 days. Wrenfield must notify SHCA within 24h and customers within 5 business days, so a 30-day upstream delay makes compliance impossible.</t>
        </is>
      </c>
      <c r="G3" s="9" t="inlineStr">
        <is>
          <t>Amend BAA to 24h notice of suspected or confirmed incidents affecting Wrenfield data, with defined content and updates</t>
        </is>
      </c>
      <c r="H3" s="8" t="inlineStr">
        <is>
          <t>Theo Anand (General Counsel)</t>
        </is>
      </c>
      <c r="I3" s="9" t="inlineStr">
        <is>
          <t>In negotiation (redline v3)</t>
        </is>
      </c>
      <c r="J3" s="8" t="inlineStr">
        <is>
          <t>FIND-016</t>
        </is>
      </c>
      <c r="K3" s="9" t="inlineStr"/>
    </row>
    <row r="4">
      <c r="A4" s="8" t="inlineStr">
        <is>
          <t>VR-003</t>
        </is>
      </c>
      <c r="B4" s="9" t="inlineStr">
        <is>
          <t>Extract exceeds minimum necessary (27 of 58 fields unused)</t>
        </is>
      </c>
      <c r="C4" s="8" t="inlineStr">
        <is>
          <t>High</t>
        </is>
      </c>
      <c r="D4" s="8" t="inlineStr">
        <is>
          <t>Wrenfield</t>
        </is>
      </c>
      <c r="E4" s="8" t="inlineStr">
        <is>
          <t>VQ-21</t>
        </is>
      </c>
      <c r="F4" s="9" t="inlineStr">
        <is>
          <t>Wrenfield sends address, phone, email, and free-text notes that the model does not use. Increases breach impact and conflicts with HIPAA minimum necessary (164.502(b)).</t>
        </is>
      </c>
      <c r="G4" s="9" t="inlineStr">
        <is>
          <t>Redesign extract to 31 required fields; replace direct identifiers with tokenized IDs; re-validate model on minimized data</t>
        </is>
      </c>
      <c r="H4" s="8" t="inlineStr">
        <is>
          <t>Liam Porter (Data Engineering)</t>
        </is>
      </c>
      <c r="I4" s="9" t="inlineStr">
        <is>
          <t>In progress (target 2026-10-16)</t>
        </is>
      </c>
      <c r="J4" s="8" t="inlineStr">
        <is>
          <t>FIND-016</t>
        </is>
      </c>
      <c r="K4" s="9" t="inlineStr"/>
    </row>
    <row r="5">
      <c r="A5" s="8" t="inlineStr">
        <is>
          <t>VR-004</t>
        </is>
      </c>
      <c r="B5" s="9" t="inlineStr">
        <is>
          <t>Penetration test evidence stale and incomplete</t>
        </is>
      </c>
      <c r="C5" s="8" t="inlineStr">
        <is>
          <t>Moderate</t>
        </is>
      </c>
      <c r="D5" s="8" t="inlineStr">
        <is>
          <t>Vendor</t>
        </is>
      </c>
      <c r="E5" s="8" t="inlineStr">
        <is>
          <t>VQ-12</t>
        </is>
      </c>
      <c r="F5" s="9" t="inlineStr">
        <is>
          <t>Last external test 2025-03 (18 months). Summary letter only. Retest of the High finding not evidenced.</t>
        </is>
      </c>
      <c r="G5" s="9" t="inlineStr">
        <is>
          <t>Provide full report (under NDA) or detailed executive summary with finding list and retest letter; annual testing clause in amendment</t>
        </is>
      </c>
      <c r="H5" s="8" t="inlineStr">
        <is>
          <t>Quarrystone CISO</t>
        </is>
      </c>
      <c r="I5" s="9" t="inlineStr">
        <is>
          <t>Evidence requested (EVID-051, overdue)</t>
        </is>
      </c>
      <c r="J5" s="8" t="inlineStr">
        <is>
          <t>FIND-016</t>
        </is>
      </c>
      <c r="K5" s="9" t="inlineStr"/>
    </row>
    <row r="6">
      <c r="A6" s="8" t="inlineStr">
        <is>
          <t>VR-005</t>
        </is>
      </c>
      <c r="B6" s="9" t="inlineStr">
        <is>
          <t>Data retention and return/destruction undefined</t>
        </is>
      </c>
      <c r="C6" s="8" t="inlineStr">
        <is>
          <t>Moderate</t>
        </is>
      </c>
      <c r="D6" s="8" t="inlineStr">
        <is>
          <t>Vendor</t>
        </is>
      </c>
      <c r="E6" s="8" t="inlineStr">
        <is>
          <t>VQ-25, VQ-26</t>
        </is>
      </c>
      <c r="F6" s="9" t="inlineStr">
        <is>
          <t>Return 'upon request' with no timeframe or certificate. Derived data kept indefinitely.</t>
        </is>
      </c>
      <c r="G6" s="9" t="inlineStr">
        <is>
          <t>Return/destroy within 30 days of termination with certificate; derived features deleted or contractually de-identified; retention schedule appended to MSA</t>
        </is>
      </c>
      <c r="H6" s="8" t="inlineStr">
        <is>
          <t>Theo Anand (General Counsel)</t>
        </is>
      </c>
      <c r="I6" s="9" t="inlineStr">
        <is>
          <t>In negotiation</t>
        </is>
      </c>
      <c r="J6" s="8" t="inlineStr">
        <is>
          <t>FIND-016</t>
        </is>
      </c>
      <c r="K6" s="9" t="inlineStr"/>
    </row>
    <row r="7">
      <c r="A7" s="8" t="inlineStr">
        <is>
          <t>VR-006</t>
        </is>
      </c>
      <c r="B7" s="9" t="inlineStr">
        <is>
          <t>SOC 2 exceptions (access reviews, change approvals)</t>
        </is>
      </c>
      <c r="C7" s="8" t="inlineStr">
        <is>
          <t>Low</t>
        </is>
      </c>
      <c r="D7" s="8" t="inlineStr">
        <is>
          <t>Vendor</t>
        </is>
      </c>
      <c r="E7" s="8" t="inlineStr">
        <is>
          <t>VQ-03, VQ-04, VQ-33</t>
        </is>
      </c>
      <c r="F7" s="9" t="inlineStr">
        <is>
          <t>2 exceptions with adequate management responses. Report period ended 2025-09-30. Bridge letter covers to 2026-03-31.</t>
        </is>
      </c>
      <c r="G7" s="9" t="inlineStr">
        <is>
          <t>Monitor: obtain next SOC 2 (expected 2026-12) and confirm exceptions resolved</t>
        </is>
      </c>
      <c r="H7" s="8" t="inlineStr">
        <is>
          <t>Beth Kowalski</t>
        </is>
      </c>
      <c r="I7" s="9" t="inlineStr">
        <is>
          <t>Monitor</t>
        </is>
      </c>
      <c r="J7" s="8" t="inlineStr"/>
      <c r="K7" s="9" t="inlineStr"/>
    </row>
    <row r="8">
      <c r="A8" s="8" t="inlineStr">
        <is>
          <t>VR-007</t>
        </is>
      </c>
      <c r="B8" s="9" t="inlineStr">
        <is>
          <t>Wrenfield not performing SOC 2 CUEC for portal user management; no SSO</t>
        </is>
      </c>
      <c r="C8" s="8" t="inlineStr">
        <is>
          <t>Moderate</t>
        </is>
      </c>
      <c r="D8" s="8" t="inlineStr">
        <is>
          <t>Wrenfield</t>
        </is>
      </c>
      <c r="E8" s="8" t="inlineStr">
        <is>
          <t>VQ-07</t>
        </is>
      </c>
      <c r="F8" s="9" t="inlineStr">
        <is>
          <t>The SOC 2 lists 'user entities are responsible for managing and reviewing their users' portal access' as a complementary user-entity control. Wrenfield had never reviewed its 6 portal user accounts; 1 former employee was active (AR-EX-04).</t>
        </is>
      </c>
      <c r="G8" s="9" t="inlineStr">
        <is>
          <t>Add portal to quarterly certification and JML checklist (done); budget SAML SSO at renewal</t>
        </is>
      </c>
      <c r="H8" s="8" t="inlineStr">
        <is>
          <t>Liam Porter</t>
        </is>
      </c>
      <c r="I8" s="9" t="inlineStr">
        <is>
          <t>Partially remediated (review + JML done; SSO at 2027 renewal)</t>
        </is>
      </c>
      <c r="J8" s="8" t="inlineStr">
        <is>
          <t>FIND-001</t>
        </is>
      </c>
      <c r="K8" s="9" t="inlineStr"/>
    </row>
    <row r="9">
      <c r="A9" s="8" t="inlineStr">
        <is>
          <t>VR-008</t>
        </is>
      </c>
      <c r="B9" s="9" t="inlineStr">
        <is>
          <t>Incomplete subcontractor disclosure; no notice of new subcontractors</t>
        </is>
      </c>
      <c r="C9" s="8" t="inlineStr">
        <is>
          <t>Moderate</t>
        </is>
      </c>
      <c r="D9" s="8" t="inlineStr">
        <is>
          <t>Vendor</t>
        </is>
      </c>
      <c r="E9" s="8" t="inlineStr">
        <is>
          <t>VQ-27, VQ-29</t>
        </is>
      </c>
      <c r="F9" s="9" t="inlineStr">
        <is>
          <t>Questionnaire listed 2 subcontractors; 4 exist. No contractual notice or approval for new subcontractors. SHCA CSA §6.3 requires approval before a subcontractor accesses agency data.</t>
        </is>
      </c>
      <c r="G9" s="9" t="inlineStr">
        <is>
          <t>Complete subcontractor schedule in amendment; 30-day advance notice and right to object; SHCA approval workflow</t>
        </is>
      </c>
      <c r="H9" s="8" t="inlineStr">
        <is>
          <t>Theo Anand (General Counsel)</t>
        </is>
      </c>
      <c r="I9" s="9" t="inlineStr">
        <is>
          <t>In negotiation</t>
        </is>
      </c>
      <c r="J9" s="8" t="inlineStr">
        <is>
          <t>FIND-016</t>
        </is>
      </c>
      <c r="K9" s="9" t="inlineStr"/>
    </row>
    <row r="10">
      <c r="A10" s="8" t="inlineStr">
        <is>
          <t>VR-009</t>
        </is>
      </c>
      <c r="B10" s="9" t="inlineStr">
        <is>
          <t>Access logs kept 90 days; no commitment to support investigations</t>
        </is>
      </c>
      <c r="C10" s="8" t="inlineStr">
        <is>
          <t>Moderate</t>
        </is>
      </c>
      <c r="D10" s="8" t="inlineStr">
        <is>
          <t>Vendor</t>
        </is>
      </c>
      <c r="E10" s="8" t="inlineStr">
        <is>
          <t>VQ-17, VQ-20</t>
        </is>
      </c>
      <c r="F10" s="9" t="inlineStr">
        <is>
          <t>Wrenfield could not scope a breach at the vendor older than 90 days.</t>
        </is>
      </c>
      <c r="G10" s="9" t="inlineStr">
        <is>
          <t>12-month log retention for access to Wrenfield data; contractual log provision within 5 business days of request</t>
        </is>
      </c>
      <c r="H10" s="8" t="inlineStr">
        <is>
          <t>Theo Anand (General Counsel)</t>
        </is>
      </c>
      <c r="I10" s="9" t="inlineStr">
        <is>
          <t>In negotiation</t>
        </is>
      </c>
      <c r="J10" s="8" t="inlineStr">
        <is>
          <t>FIND-016</t>
        </is>
      </c>
      <c r="K10" s="9" t="inlineStr"/>
    </row>
    <row r="11">
      <c r="A11" s="8" t="inlineStr">
        <is>
          <t>VR-010</t>
        </is>
      </c>
      <c r="B11" s="9" t="inlineStr">
        <is>
          <t>Secondary use of pooled de-identified data</t>
        </is>
      </c>
      <c r="C11" s="8" t="inlineStr">
        <is>
          <t>Moderate</t>
        </is>
      </c>
      <c r="D11" s="8" t="inlineStr">
        <is>
          <t>Both (legal review)</t>
        </is>
      </c>
      <c r="E11" s="8" t="inlineStr">
        <is>
          <t>VQ-22</t>
        </is>
      </c>
      <c r="F11" s="9" t="inlineStr">
        <is>
          <t>Vendor de-identifies Wrenfield-supplied PHI and pools it for cross-client model training. Whether Wrenfield's customer BAAs permit its subcontractor to de-identify for this purpose is unresolved. Safe Harbor output is not PHI, but the act of de-identifying is a use of PHI that must be permitted.</t>
        </is>
      </c>
      <c r="G11" s="9" t="inlineStr">
        <is>
          <t>General Counsel opinion; either opt Wrenfield data out of pooling or confirm customer BAAs permit it and disclose</t>
        </is>
      </c>
      <c r="H11" s="8" t="inlineStr">
        <is>
          <t>Theo Anand (General Counsel)</t>
        </is>
      </c>
      <c r="I11" s="9" t="inlineStr">
        <is>
          <t>Legal review in progress</t>
        </is>
      </c>
      <c r="J11" s="8" t="inlineStr">
        <is>
          <t>FIND-016</t>
        </is>
      </c>
      <c r="K11" s="9" t="inlineStr"/>
    </row>
    <row r="12">
      <c r="A12" s="8" t="inlineStr">
        <is>
          <t>VR-011</t>
        </is>
      </c>
      <c r="B12" s="9" t="inlineStr">
        <is>
          <t>No SBOM for vendor software</t>
        </is>
      </c>
      <c r="C12" s="8" t="inlineStr">
        <is>
          <t>Low</t>
        </is>
      </c>
      <c r="D12" s="8" t="inlineStr">
        <is>
          <t>Vendor</t>
        </is>
      </c>
      <c r="E12" s="8" t="inlineStr">
        <is>
          <t>VQ-14</t>
        </is>
      </c>
      <c r="F12" s="9" t="inlineStr">
        <is>
          <t>Limits Wrenfield's ability to assess exposure to newly disclosed component vulnerabilities.</t>
        </is>
      </c>
      <c r="G12" s="9" t="inlineStr">
        <is>
          <t>Request SBOM availability on the roadmap; revisit at 2027 renewal</t>
        </is>
      </c>
      <c r="H12" s="8" t="inlineStr">
        <is>
          <t>Beth Kowalski</t>
        </is>
      </c>
      <c r="I12" s="9" t="inlineStr">
        <is>
          <t>Monitor</t>
        </is>
      </c>
      <c r="J12" s="8" t="inlineStr"/>
      <c r="K12" s="9" t="inlineStr"/>
    </row>
    <row r="13">
      <c r="A13" s="8" t="inlineStr">
        <is>
          <t>VR-012</t>
        </is>
      </c>
      <c r="B13" s="9" t="inlineStr">
        <is>
          <t>Extract transferred from an unsupported Wrenfield host</t>
        </is>
      </c>
      <c r="C13" s="8" t="inlineStr">
        <is>
          <t>Moderate</t>
        </is>
      </c>
      <c r="D13" s="8" t="inlineStr">
        <is>
          <t>Wrenfield</t>
        </is>
      </c>
      <c r="E13" s="8" t="inlineStr">
        <is>
          <t>VQ-35</t>
        </is>
      </c>
      <c r="F13" s="9" t="inlineStr">
        <is>
          <t>The full-PHI extract leaves via wf-sftp-01 (Windows Server 2012 R2).</t>
        </is>
      </c>
      <c r="G13" s="9" t="inlineStr">
        <is>
          <t>Managed transfer service (POAM-011) with PGP-encrypted files</t>
        </is>
      </c>
      <c r="H13" s="8" t="inlineStr">
        <is>
          <t>Tomasz Wierzbicki</t>
        </is>
      </c>
      <c r="I13" s="9" t="inlineStr">
        <is>
          <t>In progress (delayed; POAM-011)</t>
        </is>
      </c>
      <c r="J13" s="8" t="inlineStr">
        <is>
          <t>FIND-011</t>
        </is>
      </c>
      <c r="K13" s="9" t="inlineStr"/>
    </row>
  </sheetData>
  <autoFilter ref="A1:K13"/>
  <conditionalFormatting sqref="C2:C213">
    <cfRule type="expression" priority="1" dxfId="0">
      <formula>C2="Critical"</formula>
    </cfRule>
    <cfRule type="expression" priority="2" dxfId="1">
      <formula>C2="High"</formula>
    </cfRule>
    <cfRule type="expression" priority="3" dxfId="2">
      <formula>C2="Moderate"</formula>
    </cfRule>
    <cfRule type="expression" priority="4" dxfId="3">
      <formula>C2="Low"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0" customWidth="1" min="2" max="2"/>
  </cols>
  <sheetData>
    <row r="1" ht="32" customHeight="1">
      <c r="A1" s="7" t="inlineStr">
        <is>
          <t>Element</t>
        </is>
      </c>
      <c r="B1" s="7" t="inlineStr">
        <is>
          <t>Decision</t>
        </is>
      </c>
    </row>
    <row r="2">
      <c r="A2" s="8" t="inlineStr">
        <is>
          <t>Inherent vendor risk</t>
        </is>
      </c>
      <c r="B2" s="9" t="inlineStr">
        <is>
          <t>Critical (Tier 1 score 12/14): full PHI of about 410k patients, external processing, undisclosed offshore access, weak notification terms</t>
        </is>
      </c>
    </row>
    <row r="3">
      <c r="A3" s="8" t="inlineStr">
        <is>
          <t>Material findings</t>
        </is>
      </c>
      <c r="B3" s="9" t="inlineStr">
        <is>
          <t>VR-001, VR-002, VR-003</t>
        </is>
      </c>
    </row>
    <row r="4">
      <c r="A4" s="8" t="inlineStr">
        <is>
          <t>Mitigating controls</t>
        </is>
      </c>
      <c r="B4" s="9" t="inlineStr">
        <is>
          <t>SOC 2 Type II (unqualified), strong encryption and MFA, immutable backups, US storage, $5M cyber insurance, WCP rules-based fallback for scores, interim suspension of offshore access (2026-07-24)</t>
        </is>
      </c>
    </row>
    <row r="5">
      <c r="A5" s="8" t="inlineStr">
        <is>
          <t>Residual risk</t>
        </is>
      </c>
      <c r="B5" s="9" t="inlineStr">
        <is>
          <t>Moderate after conditions (RISK-010 residual L2 x I4 = 8); High until conditions are met</t>
        </is>
      </c>
    </row>
    <row r="6">
      <c r="A6" s="8" t="inlineStr">
        <is>
          <t>Recommended treatment</t>
        </is>
      </c>
      <c r="B6" s="9" t="inlineStr">
        <is>
          <t>Mitigate (conditional continuation) + partial Transfer</t>
        </is>
      </c>
    </row>
    <row r="7">
      <c r="A7" s="8" t="inlineStr">
        <is>
          <t>Rationale</t>
        </is>
      </c>
      <c r="B7" s="9" t="inlineStr">
        <is>
          <t>Avoid (replace the vendor) was rejected: replacement takes 9 to 12 months, the rules-based fallback is materially less accurate, and the vendor's core controls are mature. The problems are contractual and in data design, not a weak security program. Accept was rejected: VR-001 is Critical and VR-002/VR-003 are High, all outside appetite (RSK-MTH-001 §7). Transfer alone is insufficient: insurance and indemnity move money, not accountability or contractual compliance. Mitigate works because the 2027-01-31 renewal gives leverage and the fixes are well-defined. SHCA data will not flow to Quarrystone until the conditions precedent are met.</t>
        </is>
      </c>
    </row>
    <row r="8">
      <c r="A8" s="8" t="inlineStr">
        <is>
          <t>Approved by</t>
        </is>
      </c>
      <c r="B8" s="9" t="inlineStr">
        <is>
          <t>Elena Marsh (CEO) on recommendation of CISO and VP Clinical Analytics, 2026-07-22</t>
        </is>
      </c>
    </row>
    <row r="9">
      <c r="A9" s="8" t="inlineStr">
        <is>
          <t>Conditions precedent (SHCA data)</t>
        </is>
      </c>
      <c r="B9" s="9" t="inlineStr">
        <is>
          <t>Executed amendment: US-only storage and access with technical enforcement; subcontractor schedule and approval rights (VR-001, VR-008) | 24-hour breach notification (VR-002) | Minimized, tokenized extract live (VR-003)</t>
        </is>
      </c>
    </row>
    <row r="10">
      <c r="A10" s="8" t="inlineStr">
        <is>
          <t>Contract / security requirements</t>
        </is>
      </c>
      <c r="B10" s="9" t="inlineStr">
        <is>
          <t>24h incident notification with defined content and updates | US-only data storage and access, including subcontractors; quarterly access-log attestation | Subcontractor schedule; 30-day advance notice; right to object; SHCA approval for agency data | Data return/destruction within 30 days of termination with certificate; retention schedule | 12-month access-log retention; log provision within 5 business days | Annual independent penetration test with retest evidence | No secondary use of Wrenfield data without written consent (pending legal opinion, VR-010) | Cyber insurance of at least $10M (raise from $5M) naming Wrenfield as additional insured; indemnity for breach costs | SAML SSO for portal (Enterprise tier) at renewal</t>
        </is>
      </c>
    </row>
    <row r="11">
      <c r="A11" s="8" t="inlineStr">
        <is>
          <t>Monitoring requirements</t>
        </is>
      </c>
      <c r="B11" s="9" t="inlineStr">
        <is>
          <t>Quarterly: US-only access attestation with access-log sample; subcontractor change notice check | Semi-annual: SOC 2 report or bridge letter; open-issue review with vendor CISO | Continuous: external attack-surface and breach-news monitoring; contract-renewal trigger | Event-driven: reassess on incident, subcontractor change, or material service change</t>
        </is>
      </c>
    </row>
    <row r="12">
      <c r="A12" s="8" t="inlineStr">
        <is>
          <t>Reassessment frequency</t>
        </is>
      </c>
      <c r="B12" s="9" t="inlineStr">
        <is>
          <t>Focused reassessment 2027-01 (before SHCA data flows), then annual full assessment (Tier 1)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2026-09-23T05:36:29Z</dcterms:created>
  <dcterms:modified xsi:type="dcterms:W3CDTF">2026-09-23T05:36:29Z</dcterms:modified>
</cp:coreProperties>
</file>