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shboard" sheetId="2" state="visible" r:id="rId2"/>
    <sheet name="Controls" sheetId="3" state="visible" r:id="rId3"/>
    <sheet name="Risks" sheetId="4" state="visible" r:id="rId4"/>
    <sheet name="Findings" sheetId="5" state="visible" r:id="rId5"/>
    <sheet name="POAM" sheetId="6" state="visible" r:id="rId6"/>
    <sheet name="Milestones" sheetId="7" state="visible" r:id="rId7"/>
    <sheet name="Evidence" sheetId="8" state="visible" r:id="rId8"/>
    <sheet name="AccessReview" sheetId="9" state="visible" r:id="rId9"/>
    <sheet name="VendorInventory" sheetId="10" state="visible" r:id="rId10"/>
    <sheet name="VendorAssessment" sheetId="11" state="visible" r:id="rId11"/>
    <sheet name="VendorFindings" sheetId="12" state="visible" r:id="rId12"/>
    <sheet name="Lists" sheetId="13" state="visible" r:id="rId13"/>
  </sheets>
  <definedNames>
    <definedName name="_xlnm._FilterDatabase" localSheetId="2" hidden="1">'Controls'!$A$1:$AG$62</definedName>
    <definedName name="_xlnm._FilterDatabase" localSheetId="3" hidden="1">'Risks'!$A$1:$AE$19</definedName>
    <definedName name="_xlnm._FilterDatabase" localSheetId="4" hidden="1">'Findings'!$A$1:$V$20</definedName>
    <definedName name="_xlnm._FilterDatabase" localSheetId="5" hidden="1">'POAM'!$A$1:$AC$20</definedName>
    <definedName name="_xlnm._FilterDatabase" localSheetId="6" hidden="1">'Milestones'!$A$1:$G$73</definedName>
    <definedName name="_xlnm._FilterDatabase" localSheetId="7" hidden="1">'Evidence'!$A$1:$T$79</definedName>
    <definedName name="_xlnm._FilterDatabase" localSheetId="8" hidden="1">'AccessReview'!$A$1:$AC$107</definedName>
    <definedName name="_xlnm._FilterDatabase" localSheetId="9" hidden="1">'VendorInventory'!$A$1:$S$17</definedName>
    <definedName name="_xlnm._FilterDatabase" localSheetId="10" hidden="1">'VendorAssessment'!$A$1:$L$37</definedName>
    <definedName name="_xlnm._FilterDatabase" localSheetId="11" hidden="1">'VendorFindings'!$A$1:$K$13</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color rgb="001F4E5A"/>
      <sz val="14"/>
    </font>
    <font>
      <name val="Arial"/>
      <i val="1"/>
      <color rgb="00666666"/>
      <sz val="9"/>
    </font>
    <font>
      <name val="Arial"/>
      <b val="1"/>
      <sz val="10"/>
    </font>
    <font>
      <name val="Arial"/>
      <sz val="10"/>
    </font>
    <font>
      <name val="Arial"/>
      <color rgb="000000FF"/>
      <sz val="10"/>
    </font>
    <font>
      <name val="Arial"/>
      <b val="1"/>
      <color rgb="00FFFFFF"/>
      <sz val="10"/>
    </font>
    <font>
      <name val="Arial"/>
      <sz val="9"/>
    </font>
    <font>
      <name val="Arial"/>
      <b val="1"/>
      <color rgb="00FFFFFF"/>
    </font>
  </fonts>
  <fills count="4">
    <fill>
      <patternFill/>
    </fill>
    <fill>
      <patternFill patternType="gray125"/>
    </fill>
    <fill>
      <patternFill patternType="solid">
        <fgColor rgb="00FFF7D6"/>
      </patternFill>
    </fill>
    <fill>
      <patternFill patternType="solid">
        <fgColor rgb="001F4E5A"/>
      </patternFill>
    </fill>
  </fills>
  <borders count="2">
    <border>
      <left/>
      <right/>
      <top/>
      <bottom/>
      <diagonal/>
    </border>
    <border>
      <left style="thin">
        <color rgb="00C9D3D6"/>
      </left>
      <right style="thin">
        <color rgb="00C9D3D6"/>
      </right>
      <top style="thin">
        <color rgb="00C9D3D6"/>
      </top>
      <bottom style="thin">
        <color rgb="00C9D3D6"/>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5" fillId="2" borderId="0" pivotButton="0" quotePrefix="0" xfId="0"/>
    <xf numFmtId="0" fontId="4" fillId="0" borderId="0" pivotButton="0" quotePrefix="0" xfId="0"/>
    <xf numFmtId="0" fontId="4" fillId="0" borderId="0" applyAlignment="1" pivotButton="0" quotePrefix="0" xfId="0">
      <alignment vertical="top" wrapText="1"/>
    </xf>
    <xf numFmtId="164" fontId="0" fillId="0" borderId="0" pivotButton="0" quotePrefix="0" xfId="0"/>
    <xf numFmtId="0" fontId="8" fillId="3" borderId="0" pivotButton="0" quotePrefix="0" xfId="0"/>
    <xf numFmtId="9" fontId="4" fillId="0" borderId="0" pivotButton="0" quotePrefix="0" xfId="0"/>
    <xf numFmtId="0" fontId="6" fillId="3" borderId="1" applyAlignment="1" pivotButton="0" quotePrefix="0" xfId="0">
      <alignment vertical="center" wrapText="1"/>
    </xf>
    <xf numFmtId="0" fontId="7" fillId="0" borderId="1" applyAlignment="1" pivotButton="0" quotePrefix="0" xfId="0">
      <alignment vertical="top"/>
    </xf>
    <xf numFmtId="0" fontId="7" fillId="0" borderId="1" applyAlignment="1" pivotButton="0" quotePrefix="0" xfId="0">
      <alignment vertical="top" wrapText="1"/>
    </xf>
    <xf numFmtId="164" fontId="7" fillId="0" borderId="1" applyAlignment="1" pivotButton="0" quotePrefix="0" xfId="0">
      <alignment vertical="top"/>
    </xf>
    <xf numFmtId="9" fontId="7" fillId="0" borderId="1" applyAlignment="1" pivotButton="0" quotePrefix="0" xfId="0">
      <alignment vertical="top"/>
    </xf>
    <xf numFmtId="0" fontId="6" fillId="3" borderId="0" pivotButton="0" quotePrefix="0" xfId="0"/>
  </cellXfs>
  <cellStyles count="1">
    <cellStyle name="Normal" xfId="0" builtinId="0" hidden="0"/>
  </cellStyles>
  <dxfs count="8">
    <dxf>
      <font>
        <name val="Arial"/>
        <b val="1"/>
        <color rgb="00FFFFFF"/>
      </font>
      <fill>
        <patternFill patternType="solid">
          <fgColor rgb="007A1020"/>
        </patternFill>
      </fill>
    </dxf>
    <dxf>
      <font>
        <name val="Arial"/>
        <b val="1"/>
        <color rgb="00FFFFFF"/>
      </font>
      <fill>
        <patternFill patternType="solid">
          <fgColor rgb="00E4572E"/>
        </patternFill>
      </fill>
    </dxf>
    <dxf>
      <font>
        <name val="Arial"/>
        <b val="1"/>
        <color rgb="001A1A1A"/>
      </font>
      <fill>
        <patternFill patternType="solid">
          <fgColor rgb="00F4B942"/>
        </patternFill>
      </fill>
    </dxf>
    <dxf>
      <font>
        <name val="Arial"/>
        <b val="1"/>
        <color rgb="00FFFFFF"/>
      </font>
      <fill>
        <patternFill patternType="solid">
          <fgColor rgb="005DA271"/>
        </patternFill>
      </fill>
    </dxf>
    <dxf>
      <fill>
        <patternFill patternType="solid">
          <fgColor rgb="00D9EFD8"/>
        </patternFill>
      </fill>
    </dxf>
    <dxf>
      <fill>
        <patternFill patternType="solid">
          <fgColor rgb="00F9D6CF"/>
        </patternFill>
      </fill>
    </dxf>
    <dxf>
      <fill>
        <patternFill patternType="solid">
          <fgColor rgb="00E6E0F3"/>
        </patternFill>
      </fill>
    </dxf>
    <dxf>
      <fill>
        <patternFill patternType="solid">
          <fgColor rgb="00FBE3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min="1" max="1"/>
    <col width="110" customWidth="1" min="2" max="2"/>
  </cols>
  <sheetData>
    <row r="1">
      <c r="A1" s="1" t="inlineStr">
        <is>
          <t>Wrenfield GRC Workbook: all artifacts, one governance system</t>
        </is>
      </c>
    </row>
    <row r="2">
      <c r="A2" s="2" t="inlineStr">
        <is>
          <t>Wrenfield Health (fictional) · simulated NIST SP 800-53 Rev. 5 (Release 5.2.0) assessment · synthetic data</t>
        </is>
      </c>
    </row>
    <row r="4">
      <c r="A4" s="3" t="inlineStr">
        <is>
          <t>As-of (status) date</t>
        </is>
      </c>
      <c r="B4" s="4" t="n">
        <v>46283</v>
      </c>
      <c r="C4" s="5" t="inlineStr">
        <is>
          <t>&lt;- input: all aging/overdue formulas reference this cell (use =TODAY() in a live workbook)</t>
        </is>
      </c>
    </row>
    <row r="6">
      <c r="A6" s="3" t="inlineStr">
        <is>
          <t>Sheets</t>
        </is>
      </c>
      <c r="B6" s="6" t="inlineStr">
        <is>
          <t>Dashboard (live formulas) · Controls · Risks · Findings · POAM · Milestones · Evidence · AccessReview · VendorInventory · VendorAssessment · VendorFindings · Lists</t>
        </is>
      </c>
    </row>
    <row r="7">
      <c r="A7" s="3" t="inlineStr">
        <is>
          <t>Why one workbook</t>
        </is>
      </c>
      <c r="B7" s="6" t="inlineStr">
        <is>
          <t>Cross-sheet formulas prove the artifacts share IDs: the Dashboard counts across sheets, so a status change anywhere updates management reporting</t>
        </is>
      </c>
    </row>
    <row r="8">
      <c r="A8" s="3" t="inlineStr">
        <is>
          <t>Recalculation</t>
        </is>
      </c>
      <c r="B8" s="6" t="inlineStr">
        <is>
          <t>Built with openpyxl; Excel/Sheets/LibreOffice compute formulas on open (fullCalcOnLoad). Formula results were verified with pycel (tools/check_formulas.py)</t>
        </is>
      </c>
    </row>
    <row r="9">
      <c r="A9" s="3" t="inlineStr">
        <is>
          <t>Source of truth</t>
        </is>
      </c>
      <c r="B9" s="6" t="inlineStr">
        <is>
          <t>data/*.yaml -&gt; tools/build.py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0" customWidth="1" min="1" max="1"/>
    <col width="52" customWidth="1" min="2" max="2"/>
    <col width="12" customWidth="1" min="3" max="3"/>
    <col width="60" customWidth="1" min="4" max="4"/>
  </cols>
  <sheetData>
    <row r="1">
      <c r="A1" s="1" t="inlineStr">
        <is>
          <t>Executive Dashboard (live formulas)</t>
        </is>
      </c>
    </row>
    <row r="2">
      <c r="A2" t="inlineStr">
        <is>
          <t>As of</t>
        </is>
      </c>
      <c r="B2" s="7">
        <f>README!$B$4</f>
        <v/>
      </c>
    </row>
    <row r="4">
      <c r="A4" s="8" t="inlineStr">
        <is>
          <t>Metric ID</t>
        </is>
      </c>
      <c r="B4" s="8" t="inlineStr">
        <is>
          <t>Metric</t>
        </is>
      </c>
      <c r="C4" s="8" t="inlineStr">
        <is>
          <t>Value</t>
        </is>
      </c>
      <c r="D4" s="8" t="inlineStr">
        <is>
          <t>Definition</t>
        </is>
      </c>
    </row>
    <row r="5">
      <c r="A5" s="5" t="inlineStr">
        <is>
          <t>MET-01</t>
        </is>
      </c>
      <c r="B5" s="5" t="inlineStr">
        <is>
          <t>Controls in scope</t>
        </is>
      </c>
      <c r="C5" s="5">
        <f>COUNTIF(Controls!$A$2:$A$500,"?*")</f>
        <v/>
      </c>
      <c r="D5" s="5" t="inlineStr">
        <is>
          <t>Count of control rows</t>
        </is>
      </c>
    </row>
    <row r="6">
      <c r="A6" s="5" t="inlineStr">
        <is>
          <t>MET-02</t>
        </is>
      </c>
      <c r="B6" s="5" t="inlineStr">
        <is>
          <t>Controls assessed (excl. N/A)</t>
        </is>
      </c>
      <c r="C6" s="5">
        <f>COUNTIF(Controls!$V:$V,"Satisfied")+COUNTIF(Controls!$V:$V,"Other Than Satisfied")</f>
        <v/>
      </c>
      <c r="D6" s="5" t="inlineStr">
        <is>
          <t>Result is Satisfied or Other Than Satisfied</t>
        </is>
      </c>
    </row>
    <row r="7">
      <c r="A7" s="5" t="inlineStr">
        <is>
          <t>MET-03</t>
        </is>
      </c>
      <c r="B7" s="5" t="inlineStr">
        <is>
          <t>Controls Satisfied</t>
        </is>
      </c>
      <c r="C7" s="5">
        <f>COUNTIF(Controls!$V:$V,"Satisfied")</f>
        <v/>
      </c>
      <c r="D7" s="5" t="inlineStr">
        <is>
          <t>Result = Satisfied</t>
        </is>
      </c>
    </row>
    <row r="8">
      <c r="A8" s="5" t="inlineStr">
        <is>
          <t>MET-03a</t>
        </is>
      </c>
      <c r="B8" s="5" t="inlineStr">
        <is>
          <t>% of assessed controls Satisfied</t>
        </is>
      </c>
      <c r="C8" s="9">
        <f>ROUND(C7/C6,2)</f>
        <v/>
      </c>
      <c r="D8" s="5" t="inlineStr">
        <is>
          <t>MET-03 / MET-02</t>
        </is>
      </c>
    </row>
    <row r="9">
      <c r="A9" s="5" t="inlineStr">
        <is>
          <t>MET-04a</t>
        </is>
      </c>
      <c r="B9" s="5" t="inlineStr">
        <is>
          <t>Validated: Implemented</t>
        </is>
      </c>
      <c r="C9" s="5">
        <f>COUNTIF(Controls!$M:$M,"Implemented")</f>
        <v/>
      </c>
      <c r="D9" s="5" t="inlineStr">
        <is>
          <t>Assessor-validated status</t>
        </is>
      </c>
    </row>
    <row r="10">
      <c r="A10" s="5" t="inlineStr">
        <is>
          <t>MET-04b</t>
        </is>
      </c>
      <c r="B10" s="5" t="inlineStr">
        <is>
          <t>Validated: Partially Implemented</t>
        </is>
      </c>
      <c r="C10" s="5">
        <f>COUNTIF(Controls!$M:$M,"Partially Implemented")</f>
        <v/>
      </c>
      <c r="D10" s="5" t="inlineStr">
        <is>
          <t>Assessor-validated status</t>
        </is>
      </c>
    </row>
    <row r="11">
      <c r="A11" s="5" t="inlineStr">
        <is>
          <t>MET-04c</t>
        </is>
      </c>
      <c r="B11" s="5" t="inlineStr">
        <is>
          <t>Validated: Planned or Not Implemented</t>
        </is>
      </c>
      <c r="C11" s="5">
        <f>COUNTIF(Controls!$M:$M,"Planned")+COUNTIF(Controls!$M:$M,"Not Implemented")</f>
        <v/>
      </c>
      <c r="D11" s="5" t="inlineStr">
        <is>
          <t>Assessor-validated status</t>
        </is>
      </c>
    </row>
    <row r="12">
      <c r="A12" s="5" t="inlineStr">
        <is>
          <t>MET-05</t>
        </is>
      </c>
      <c r="B12" s="5" t="inlineStr">
        <is>
          <t>Controls where assessor changed owner-stated status</t>
        </is>
      </c>
      <c r="C12" s="5">
        <f>COUNTIF(Controls!$N:$N,"Yes")</f>
        <v/>
      </c>
      <c r="D12" s="5" t="inlineStr">
        <is>
          <t>Owner overstatement indicator</t>
        </is>
      </c>
    </row>
    <row r="13">
      <c r="A13" s="5" t="inlineStr">
        <is>
          <t>MET-06</t>
        </is>
      </c>
      <c r="B13" s="5" t="inlineStr">
        <is>
          <t>Findings (total)</t>
        </is>
      </c>
      <c r="C13" s="5">
        <f>COUNTIF(Findings!$A$2:$A$500,"FIND-*")</f>
        <v/>
      </c>
      <c r="D13" s="5" t="inlineStr">
        <is>
          <t>All findings</t>
        </is>
      </c>
    </row>
    <row r="14">
      <c r="A14" s="5" t="inlineStr">
        <is>
          <t>MET-06a</t>
        </is>
      </c>
      <c r="B14" s="5" t="inlineStr">
        <is>
          <t>Open findings (not Closed / Risk Accepted)</t>
        </is>
      </c>
      <c r="C14" s="5">
        <f>C13-COUNTIF(Findings!$O:$O,"Closed")-COUNTIF(Findings!$O:$O,"Risk Accepted")</f>
        <v/>
      </c>
      <c r="D14" s="5" t="inlineStr">
        <is>
          <t>Total minus Closed minus Risk Accepted</t>
        </is>
      </c>
    </row>
    <row r="15">
      <c r="A15" s="5" t="inlineStr">
        <is>
          <t>MET-07</t>
        </is>
      </c>
      <c r="B15" s="5" t="inlineStr">
        <is>
          <t>Open High/Critical findings</t>
        </is>
      </c>
      <c r="C15" s="5">
        <f>COUNTIFS(Findings!$C:$C,"High",Findings!$O:$O,"&lt;&gt;Closed")+COUNTIFS(Findings!$C:$C,"Critical",Findings!$O:$O,"&lt;&gt;Closed")</f>
        <v/>
      </c>
      <c r="D15" s="5" t="inlineStr">
        <is>
          <t>Severity High/Critical and not Closed</t>
        </is>
      </c>
    </row>
    <row r="16">
      <c r="A16" s="5" t="inlineStr">
        <is>
          <t>MET-08</t>
        </is>
      </c>
      <c r="B16" s="5" t="inlineStr">
        <is>
          <t>Overdue POA&amp;M items</t>
        </is>
      </c>
      <c r="C16" s="5">
        <f>COUNTIF(POAM!$T:$T,"Yes")</f>
        <v/>
      </c>
      <c r="D16" s="5" t="inlineStr">
        <is>
          <t>Formula-driven Overdue? column</t>
        </is>
      </c>
    </row>
    <row r="17">
      <c r="A17" s="5" t="inlineStr">
        <is>
          <t>MET-08a</t>
        </is>
      </c>
      <c r="B17" s="5" t="inlineStr">
        <is>
          <t>Slipped POA&amp;M items (target changed)</t>
        </is>
      </c>
      <c r="C17" s="5">
        <f>COUNTIF(POAM!$U:$U,"Yes")</f>
        <v/>
      </c>
      <c r="D17" s="5" t="inlineStr">
        <is>
          <t>Current target &lt;&gt; original target</t>
        </is>
      </c>
    </row>
    <row r="18">
      <c r="A18" s="5" t="inlineStr">
        <is>
          <t>MET-09</t>
        </is>
      </c>
      <c r="B18" s="5" t="inlineStr">
        <is>
          <t>POA&amp;M closed and validated</t>
        </is>
      </c>
      <c r="C18" s="5">
        <f>COUNTIF(POAM!$Q:$Q,"Closed")</f>
        <v/>
      </c>
      <c r="D18" s="5" t="inlineStr">
        <is>
          <t>Status Closed (requires validation)</t>
        </is>
      </c>
    </row>
    <row r="19">
      <c r="A19" s="5" t="inlineStr">
        <is>
          <t>MET-10</t>
        </is>
      </c>
      <c r="B19" s="5" t="inlineStr">
        <is>
          <t>Access-review exceptions (distinct)</t>
        </is>
      </c>
      <c r="C19" s="5">
        <f>SUM(AccessReview!$AD:$AD)</f>
        <v/>
      </c>
      <c r="D19" s="5" t="inlineStr">
        <is>
          <t>Distinct AR-EX IDs (helper column counts each ID once)</t>
        </is>
      </c>
    </row>
    <row r="20">
      <c r="A20" s="5" t="inlineStr">
        <is>
          <t>MET-10a</t>
        </is>
      </c>
      <c r="B20" s="5" t="inlineStr">
        <is>
          <t>Access-review exception rows</t>
        </is>
      </c>
      <c r="C20" s="5">
        <f>COUNTIF(AccessReview!$S:$S,"AR-EX-*")</f>
        <v/>
      </c>
      <c r="D20" s="5" t="inlineStr">
        <is>
          <t>Rows carrying an exception</t>
        </is>
      </c>
    </row>
    <row r="21">
      <c r="A21" s="5" t="inlineStr">
        <is>
          <t>MET-11</t>
        </is>
      </c>
      <c r="B21" s="5" t="inlineStr">
        <is>
          <t>Vendor findings (VR) total</t>
        </is>
      </c>
      <c r="C21" s="5">
        <f>COUNTIF(VendorFindings!$A$2:$A$500,"VR-*")</f>
        <v/>
      </c>
      <c r="D21" s="5" t="inlineStr">
        <is>
          <t>All VR items</t>
        </is>
      </c>
    </row>
    <row r="22">
      <c r="A22" s="5" t="inlineStr">
        <is>
          <t>MET-11a</t>
        </is>
      </c>
      <c r="B22" s="5" t="inlineStr">
        <is>
          <t>Vendor findings Critical/High</t>
        </is>
      </c>
      <c r="C22" s="5">
        <f>COUNTIF(VendorFindings!$C:$C,"Critical")+COUNTIF(VendorFindings!$C:$C,"High")</f>
        <v/>
      </c>
      <c r="D22" s="5" t="inlineStr">
        <is>
          <t>Severity</t>
        </is>
      </c>
    </row>
    <row r="23">
      <c r="A23" s="5" t="inlineStr">
        <is>
          <t>MET-11b</t>
        </is>
      </c>
      <c r="B23" s="5" t="inlineStr">
        <is>
          <t>Tier 1-2 vendors with current assessment</t>
        </is>
      </c>
      <c r="C23" s="5">
        <f>COUNTIFS(VendorInventory!$K:$K,"&lt;=2",VendorInventory!$O:$O,"Yes")</f>
        <v/>
      </c>
      <c r="D23" s="5" t="inlineStr">
        <is>
          <t>Formula-driven currency</t>
        </is>
      </c>
    </row>
    <row r="24">
      <c r="A24" s="5" t="inlineStr">
        <is>
          <t>MET-11c</t>
        </is>
      </c>
      <c r="B24" s="5" t="inlineStr">
        <is>
          <t>Tier 1-2 vendors total</t>
        </is>
      </c>
      <c r="C24" s="5">
        <f>COUNTIF(VendorInventory!$K:$K,"&lt;=2")</f>
        <v/>
      </c>
      <c r="D24" s="5" t="inlineStr">
        <is>
          <t>Tier from inherent score</t>
        </is>
      </c>
    </row>
    <row r="25">
      <c r="A25" s="5" t="inlineStr">
        <is>
          <t>MET-12</t>
        </is>
      </c>
      <c r="B25" s="5" t="inlineStr">
        <is>
          <t>Evidence completion %</t>
        </is>
      </c>
      <c r="C25" s="9">
        <f>ROUND((COUNTIF(Evidence!$I:$I,"Accepted")+COUNTIF(Evidence!$I:$I,"Closed"))/COUNTIF(Evidence!$A:$A,"EVID-*"),2)</f>
        <v/>
      </c>
      <c r="D25" s="5" t="inlineStr">
        <is>
          <t>(Accepted + Closed) / requested</t>
        </is>
      </c>
    </row>
    <row r="26">
      <c r="A26" s="5" t="inlineStr">
        <is>
          <t>MET-13a</t>
        </is>
      </c>
      <c r="B26" s="5" t="inlineStr">
        <is>
          <t>Enterprise risks rated High+ (current)</t>
        </is>
      </c>
      <c r="C26" s="5">
        <f>COUNTIF(Risks!$O:$O,"High")+COUNTIF(Risks!$O:$O,"Critical")</f>
        <v/>
      </c>
      <c r="D26" s="5" t="inlineStr">
        <is>
          <t>Current (as tested)</t>
        </is>
      </c>
    </row>
    <row r="27">
      <c r="A27" s="5" t="inlineStr">
        <is>
          <t>MET-13b</t>
        </is>
      </c>
      <c r="B27" s="5" t="inlineStr">
        <is>
          <t>Enterprise risks rated High+ (residual target)</t>
        </is>
      </c>
      <c r="C27" s="5">
        <f>COUNTIF(Risks!$W:$W,"High")+COUNTIF(Risks!$W:$W,"Critical")</f>
        <v/>
      </c>
      <c r="D27" s="5" t="inlineStr">
        <is>
          <t>Residual target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26" customWidth="1" min="3" max="3"/>
    <col width="23" customWidth="1" min="4" max="4"/>
    <col width="50" customWidth="1" min="5" max="5"/>
    <col width="16" customWidth="1" min="6" max="6"/>
    <col width="30" customWidth="1" min="7" max="7"/>
    <col width="21" customWidth="1" min="8" max="8"/>
    <col width="18" customWidth="1" min="9" max="9"/>
    <col width="16" customWidth="1" min="10" max="10"/>
    <col width="29" customWidth="1" min="11" max="11"/>
    <col width="30" customWidth="1" min="12" max="12"/>
    <col width="30" customWidth="1" min="13" max="13"/>
    <col width="29" customWidth="1" min="14" max="14"/>
    <col width="60" customWidth="1" min="15" max="15"/>
    <col width="36" customWidth="1" min="16" max="16"/>
    <col width="27" customWidth="1" min="17" max="17"/>
    <col width="40" customWidth="1" min="18" max="18"/>
    <col width="24" customWidth="1" min="19" max="19"/>
    <col width="16" customWidth="1" min="20" max="20"/>
    <col width="70" customWidth="1" min="21" max="21"/>
    <col width="19" customWidth="1" min="22" max="22"/>
    <col width="36" customWidth="1" min="23" max="23"/>
    <col width="16" customWidth="1" min="24" max="24"/>
    <col width="16" customWidth="1" min="25" max="25"/>
    <col width="20" customWidth="1" min="26" max="26"/>
    <col width="18" customWidth="1" min="27" max="27"/>
    <col width="30" customWidth="1" min="28" max="28"/>
    <col width="16" customWidth="1" min="29" max="29"/>
    <col width="16" customWidth="1" min="30" max="30"/>
    <col width="16" customWidth="1" min="31" max="31"/>
    <col width="29" customWidth="1" min="32" max="32"/>
    <col width="36" customWidth="1" min="33" max="33"/>
  </cols>
  <sheetData>
    <row r="1" ht="32" customHeight="1">
      <c r="A1" s="10" t="inlineStr">
        <is>
          <t>Control ID</t>
        </is>
      </c>
      <c r="B1" s="10" t="inlineStr">
        <is>
          <t>Control Family</t>
        </is>
      </c>
      <c r="C1" s="10" t="inlineStr">
        <is>
          <t>Control Name</t>
        </is>
      </c>
      <c r="D1" s="10" t="inlineStr">
        <is>
          <t>Baseline (SP 800-53B)</t>
        </is>
      </c>
      <c r="E1" s="10" t="inlineStr">
        <is>
          <t>Control Requirement Summary</t>
        </is>
      </c>
      <c r="F1" s="10" t="inlineStr">
        <is>
          <t>Applicability</t>
        </is>
      </c>
      <c r="G1" s="10" t="inlineStr">
        <is>
          <t>Applicability Rationale</t>
        </is>
      </c>
      <c r="H1" s="10" t="inlineStr">
        <is>
          <t>Control Origination</t>
        </is>
      </c>
      <c r="I1" s="10" t="inlineStr">
        <is>
          <t>System / Process</t>
        </is>
      </c>
      <c r="J1" s="10" t="inlineStr">
        <is>
          <t>Control Owner</t>
        </is>
      </c>
      <c r="K1" s="10" t="inlineStr">
        <is>
          <t>Business Requirements (REQ)</t>
        </is>
      </c>
      <c r="L1" s="10" t="inlineStr">
        <is>
          <t>Implementation Status (Owner-Stated)</t>
        </is>
      </c>
      <c r="M1" s="10" t="inlineStr">
        <is>
          <t>Implementation Status (Assessor-Validated)</t>
        </is>
      </c>
      <c r="N1" s="10" t="inlineStr">
        <is>
          <t>Status Changed by Assessor?</t>
        </is>
      </c>
      <c r="O1" s="10" t="inlineStr">
        <is>
          <t>Implementation Description</t>
        </is>
      </c>
      <c r="P1" s="10" t="inlineStr">
        <is>
          <t>Evidence Required</t>
        </is>
      </c>
      <c r="Q1" s="10" t="inlineStr">
        <is>
          <t>Evidence Available (EVID)</t>
        </is>
      </c>
      <c r="R1" s="10" t="inlineStr">
        <is>
          <t>Evidence Location</t>
        </is>
      </c>
      <c r="S1" s="10" t="inlineStr">
        <is>
          <t>Highest Evidence Level</t>
        </is>
      </c>
      <c r="T1" s="10" t="inlineStr">
        <is>
          <t>Testing Method</t>
        </is>
      </c>
      <c r="U1" s="10" t="inlineStr">
        <is>
          <t>Test Procedure / Expected vs Actual</t>
        </is>
      </c>
      <c r="V1" s="10" t="inlineStr">
        <is>
          <t>Assessment Result</t>
        </is>
      </c>
      <c r="W1" s="10" t="inlineStr">
        <is>
          <t>Gap Identified</t>
        </is>
      </c>
      <c r="X1" s="10" t="inlineStr">
        <is>
          <t>Risk Rating</t>
        </is>
      </c>
      <c r="Y1" s="10" t="inlineStr">
        <is>
          <t>Related Risk ID</t>
        </is>
      </c>
      <c r="Z1" s="10" t="inlineStr">
        <is>
          <t>Related Finding ID</t>
        </is>
      </c>
      <c r="AA1" s="10" t="inlineStr">
        <is>
          <t>Related POA&amp;M ID</t>
        </is>
      </c>
      <c r="AB1" s="10" t="inlineStr">
        <is>
          <t>POA&amp;M Status (as of status date)</t>
        </is>
      </c>
      <c r="AC1" s="10" t="inlineStr">
        <is>
          <t>Observations</t>
        </is>
      </c>
      <c r="AD1" s="10" t="inlineStr">
        <is>
          <t>Last Reviewed</t>
        </is>
      </c>
      <c r="AE1" s="10" t="inlineStr">
        <is>
          <t>Next Review</t>
        </is>
      </c>
      <c r="AF1" s="10" t="inlineStr">
        <is>
          <t>CSF 2.0 Function (informal)</t>
        </is>
      </c>
      <c r="AG1" s="10" t="inlineStr">
        <is>
          <t>Notes</t>
        </is>
      </c>
    </row>
    <row r="2">
      <c r="A2" s="11" t="inlineStr">
        <is>
          <t>AC-1</t>
        </is>
      </c>
      <c r="B2" s="11" t="inlineStr">
        <is>
          <t>AC - Access Control</t>
        </is>
      </c>
      <c r="C2" s="12" t="inlineStr">
        <is>
          <t>Policy and Procedures</t>
        </is>
      </c>
      <c r="D2" s="11" t="inlineStr">
        <is>
          <t>Moderate</t>
        </is>
      </c>
      <c r="E2" s="12" t="inlineStr">
        <is>
          <t>Develop, document, and disseminate an access control policy and procedures; designate an official to manage them; review and update them at a defined frequency and after defined events.</t>
        </is>
      </c>
      <c r="F2" s="11" t="inlineStr">
        <is>
          <t>Applicable</t>
        </is>
      </c>
      <c r="G2" s="12" t="inlineStr"/>
      <c r="H2" s="11" t="inlineStr">
        <is>
          <t>Common (organization-wide)</t>
        </is>
      </c>
      <c r="I2" s="11" t="inlineStr">
        <is>
          <t>All in-scope systems</t>
        </is>
      </c>
      <c r="J2" s="11" t="inlineStr">
        <is>
          <t>Alicia Moreno (CISO)</t>
        </is>
      </c>
      <c r="K2" s="11" t="inlineStr">
        <is>
          <t>REQ-001; REQ-014; REQ-024</t>
        </is>
      </c>
      <c r="L2" s="11" t="inlineStr">
        <is>
          <t>Implemented</t>
        </is>
      </c>
      <c r="M2" s="11" t="inlineStr">
        <is>
          <t>Implemented</t>
        </is>
      </c>
      <c r="N2" s="11">
        <f>IF(L2&lt;&gt;M2,"Yes","No")</f>
        <v/>
      </c>
      <c r="O2" s="12" t="inlineStr">
        <is>
          <t>Access Control Policy ACP-002 v3.1 (approved 2025-01-15 by the CISO) covers account types, approvals, least privilege, separate admin accounts (§5.4), 24h de-provisioning (§5.3), inactivity (§5.6), and quarterly privileged recertification. It is published on the intranet and acknowledged at onboarding. JML procedure SOP-IAM-02 v2.0 implements it.</t>
        </is>
      </c>
      <c r="P2" s="12" t="inlineStr">
        <is>
          <t>Current approved policy and procedures, approval record, review history, dissemination evidence</t>
        </is>
      </c>
      <c r="Q2" s="11" t="inlineStr">
        <is>
          <t>EVID-001; EVID-002</t>
        </is>
      </c>
      <c r="R2" s="12" t="inlineStr">
        <is>
          <t>GRC-Vault:/WCP-2026/AC/EVID-001_ACP-002_v3.1.pdf; GRC-Vault:/WCP-2026/AC/EVID-002_SOP-IAM-02_v2.0.pdf</t>
        </is>
      </c>
      <c r="S2" s="11" t="inlineStr">
        <is>
          <t>Design</t>
        </is>
      </c>
      <c r="T2" s="11" t="inlineStr">
        <is>
          <t>Examine, Interview</t>
        </is>
      </c>
      <c r="U2" s="12" t="inlineStr">
        <is>
          <t>Examined ACP-002 v3.1 and SOP-IAM-02 v2.0 against the AC family requirements, and interviewed the CISO. Expected: policy reviewed within the 12-month cycle. Actual: the last approved review was 2025-01-15, so it is 5 months overdue. Draft v3.2 has been in review since 2026-05. Content is adequate, and policy statements are specific enough to test (they drove several findings).</t>
        </is>
      </c>
      <c r="V2" s="11" t="inlineStr">
        <is>
          <t>Satisfied</t>
        </is>
      </c>
      <c r="W2" s="12" t="inlineStr">
        <is>
          <t>Annual review overdue by about 5 months (below the finding threshold: the content is current and the draft is in approval).</t>
        </is>
      </c>
      <c r="X2" s="11" t="inlineStr">
        <is>
          <t>Low</t>
        </is>
      </c>
      <c r="Y2" s="11" t="inlineStr"/>
      <c r="Z2" s="11" t="inlineStr"/>
      <c r="AA2" s="11" t="inlineStr"/>
      <c r="AB2" s="11" t="inlineStr">
        <is>
          <t>n/a</t>
        </is>
      </c>
      <c r="AC2" s="11" t="inlineStr">
        <is>
          <t>OBS-01</t>
        </is>
      </c>
      <c r="AD2" s="13" t="n">
        <v>46220</v>
      </c>
      <c r="AE2" s="13" t="n">
        <v>46583</v>
      </c>
      <c r="AF2" s="11" t="inlineStr">
        <is>
          <t>PR</t>
        </is>
      </c>
      <c r="AG2" s="12" t="inlineStr">
        <is>
          <t>A policy existing does not prove the controls operate. AC-2/AC-6 test results show several ACP-002 requirements not operating.</t>
        </is>
      </c>
    </row>
    <row r="3">
      <c r="A3" s="11" t="inlineStr">
        <is>
          <t>AC-2</t>
        </is>
      </c>
      <c r="B3" s="11" t="inlineStr">
        <is>
          <t>AC - Access Control</t>
        </is>
      </c>
      <c r="C3" s="12" t="inlineStr">
        <is>
          <t>Account Management</t>
        </is>
      </c>
      <c r="D3" s="11" t="inlineStr">
        <is>
          <t>Moderate</t>
        </is>
      </c>
      <c r="E3" s="12" t="inlineStr">
        <is>
          <t>Define allowed account types; assign account managers; require approvals for account creation; create, modify, disable, and remove accounts per defined conditions; monitor account use; notify account managers when accounts are no longer needed; review accounts for compliance at a defined frequency.</t>
        </is>
      </c>
      <c r="F3" s="11" t="inlineStr">
        <is>
          <t>Applicable</t>
        </is>
      </c>
      <c r="G3" s="12" t="inlineStr"/>
      <c r="H3" s="11" t="inlineStr">
        <is>
          <t>Hybrid (Okta common control + system-specific accounts)</t>
        </is>
      </c>
      <c r="I3" s="11" t="inlineStr">
        <is>
          <t>SYS-01, SYS-02, SYS-03, SYS-04, SYS-05, SYS-06, SYS-07, SYS-08, SYS-09</t>
        </is>
      </c>
      <c r="J3" s="11" t="inlineStr">
        <is>
          <t>Nadia Rahman (IAM Engineer)</t>
        </is>
      </c>
      <c r="K3" s="11" t="inlineStr">
        <is>
          <t>REQ-001; REQ-004; REQ-013; REQ-014; REQ-023</t>
        </is>
      </c>
      <c r="L3" s="11" t="inlineStr">
        <is>
          <t>Implemented</t>
        </is>
      </c>
      <c r="M3" s="11" t="inlineStr">
        <is>
          <t>Partially Implemented</t>
        </is>
      </c>
      <c r="N3" s="11">
        <f>IF(L3&lt;&gt;M3,"Yes","No")</f>
        <v/>
      </c>
      <c r="O3" s="12" t="inlineStr">
        <is>
          <t>Okta is the identity source for SSO apps. Access requests go through Jira service desk tickets approved by the manager and the system owner. Termination tickets are raised manually by IT from HR emails. Local accounts exist outside Okta on AWS (legacy IAM users), wf-sftp-01, and the Quarrystone portal, and are managed ad hoc. There is a service-account register, but it lacked owner and rotation fields until 2026-07.</t>
        </is>
      </c>
      <c r="P3" s="12" t="inlineStr">
        <is>
          <t>Account-management procedure; user and entitlement populations from each system; HR roster; service-account register; recertification records</t>
        </is>
      </c>
      <c r="Q3" s="11" t="inlineStr">
        <is>
          <t>EVID-002; EVID-005; EVID-006; EVID-007; EVID-013; EVID-061; EVID-065</t>
        </is>
      </c>
      <c r="R3" s="12" t="inlineStr">
        <is>
          <t>GRC-Vault:/WCP-2026/AC/EVID-002_SOP-IAM-02_v2.0.pdf; access-review/source-exports/okta_users.csv; access-review/source-exports/entitlements.csv; evidence/IA/EVID-007_aws-iam-credential-report_2026-06-30.csv; access-review/source-exports/service_accounts.csv; evidence/AC/EVID-061_terminations-and-deactivations_2026-07-01_to_09-09.csv; GRC-Vault:/WCP-2026/IA/EVID-065_service-register-v2026-09.csv</t>
        </is>
      </c>
      <c r="S3" s="11" t="inlineStr">
        <is>
          <t>Operating Effectiveness</t>
        </is>
      </c>
      <c r="T3" s="11" t="inlineStr">
        <is>
          <t>Examine, Interview, Test</t>
        </is>
      </c>
      <c r="U3" s="12" t="inlineStr">
        <is>
          <t>Full reconciliation of 106 entitlements on 9 systems against HR, the role baseline, the SoD rules, and the service register (tools/review_engine.py). Expected: every account is authorized, owned, and current. Actual: 20 exceptions across 28 entitlement rows. They include terminated users (4), a duplicate identity, inactive access, contractor term drift, service accounts without owners or rotation, and a shared vendor login.</t>
        </is>
      </c>
      <c r="V3" s="11" t="inlineStr">
        <is>
          <t>Other Than Satisfied</t>
        </is>
      </c>
      <c r="W3" s="12" t="inlineStr">
        <is>
          <t>Account lifecycle is not enforced for local (non-SSO) accounts, contractors, transfers, or service accounts. Account reviews did not catch these.</t>
        </is>
      </c>
      <c r="X3" s="11" t="inlineStr">
        <is>
          <t>High</t>
        </is>
      </c>
      <c r="Y3" s="11" t="inlineStr">
        <is>
          <t>RISK-002; RISK-004; RISK-017</t>
        </is>
      </c>
      <c r="Z3" s="11" t="inlineStr">
        <is>
          <t>FIND-001; FIND-004; FIND-005; FIND-006</t>
        </is>
      </c>
      <c r="AA3" s="11" t="inlineStr">
        <is>
          <t>POAM-001; POAM-004; POAM-005; POAM-006</t>
        </is>
      </c>
      <c r="AB3" s="11" t="inlineStr">
        <is>
          <t>POAM-001: Closed; POAM-004: In Progress; POAM-005: Closed; POAM-006: Closed</t>
        </is>
      </c>
      <c r="AC3" s="11" t="inlineStr"/>
      <c r="AD3" s="13" t="n">
        <v>46220</v>
      </c>
      <c r="AE3" s="13" t="n">
        <v>46371</v>
      </c>
      <c r="AF3" s="11" t="inlineStr">
        <is>
          <t>PR</t>
        </is>
      </c>
      <c r="AG3" s="12" t="inlineStr">
        <is>
          <t>Anchor control for the access review. Individual exceptions roll up into 4 findings by root cause.</t>
        </is>
      </c>
    </row>
    <row r="4">
      <c r="A4" s="11" t="inlineStr">
        <is>
          <t>AC-2(1)</t>
        </is>
      </c>
      <c r="B4" s="11" t="inlineStr">
        <is>
          <t>AC - Access Control</t>
        </is>
      </c>
      <c r="C4" s="12" t="inlineStr">
        <is>
          <t>Automated System Account Management</t>
        </is>
      </c>
      <c r="D4" s="11" t="inlineStr">
        <is>
          <t>Moderate</t>
        </is>
      </c>
      <c r="E4" s="12" t="inlineStr">
        <is>
          <t>Support management of system accounts with automated mechanisms.</t>
        </is>
      </c>
      <c r="F4" s="11" t="inlineStr">
        <is>
          <t>Applicable</t>
        </is>
      </c>
      <c r="G4" s="12" t="inlineStr"/>
      <c r="H4" s="11" t="inlineStr">
        <is>
          <t>Common (Okta)</t>
        </is>
      </c>
      <c r="I4" s="11" t="inlineStr">
        <is>
          <t>SYS-02, SYS-06</t>
        </is>
      </c>
      <c r="J4" s="11" t="inlineStr">
        <is>
          <t>Nadia Rahman (IAM Engineer)</t>
        </is>
      </c>
      <c r="K4" s="11" t="inlineStr">
        <is>
          <t>REQ-004; REQ-013</t>
        </is>
      </c>
      <c r="L4" s="11" t="inlineStr">
        <is>
          <t>Implemented</t>
        </is>
      </c>
      <c r="M4" s="11" t="inlineStr">
        <is>
          <t>Partially Implemented</t>
        </is>
      </c>
      <c r="N4" s="11">
        <f>IF(L4&lt;&gt;M4,"Yes","No")</f>
        <v/>
      </c>
      <c r="O4" s="12" t="inlineStr">
        <is>
          <t>Okta provisions users to GitHub and AWS IAM Identity Center with SCIM and group push. The PeopleHub-to-Okta integration syncs attributes only. Terminations and contract end dates did not trigger de-provisioning before 2026-08, and contractor accounts had no expiry dates.</t>
        </is>
      </c>
      <c r="P4" s="12" t="inlineStr">
        <is>
          <t>Integration configuration; provisioning and de-provisioning logs; evidence that HR events trigger account actions</t>
        </is>
      </c>
      <c r="Q4" s="11" t="inlineStr">
        <is>
          <t>EVID-004; EVID-005; EVID-062</t>
        </is>
      </c>
      <c r="R4" s="12" t="inlineStr">
        <is>
          <t>evidence/AC/EVID-004_okta-deactivation-events-2026H1.csv; access-review/source-exports/okta_users.csv; evidence/AC/EVID-062_hr-okta-reconciliation-job_2026-09-10.csv</t>
        </is>
      </c>
      <c r="S4" s="11" t="inlineStr">
        <is>
          <t>Implementation</t>
        </is>
      </c>
      <c r="T4" s="11" t="inlineStr">
        <is>
          <t>Examine, Interview</t>
        </is>
      </c>
      <c r="U4" s="12" t="inlineStr">
        <is>
          <t>Examined the Okta-PeopleHub integration settings and interviewed the IAM Engineer. Expected: HR termination events automatically trigger de-provisioning. Actual: sync was attribute-only, so de-provisioning was a manual ticket. This design gap is the root cause of FIND-001. Post-remediation: a daily reconciliation job with auto-ticketing (live 2026-08-03) and Okta account-expiry dates for contractors were verified in EVID-062.</t>
        </is>
      </c>
      <c r="V4" s="11" t="inlineStr">
        <is>
          <t>Other Than Satisfied</t>
        </is>
      </c>
      <c r="W4" s="12" t="inlineStr">
        <is>
          <t>No automated de-provisioning from the authoritative HR source (fixed with compensating automation; full lifecycle-management licensing is planned for FY27).</t>
        </is>
      </c>
      <c r="X4" s="11" t="inlineStr">
        <is>
          <t>High</t>
        </is>
      </c>
      <c r="Y4" s="11" t="inlineStr">
        <is>
          <t>RISK-002</t>
        </is>
      </c>
      <c r="Z4" s="11" t="inlineStr">
        <is>
          <t>FIND-001</t>
        </is>
      </c>
      <c r="AA4" s="11" t="inlineStr">
        <is>
          <t>POAM-001</t>
        </is>
      </c>
      <c r="AB4" s="11" t="inlineStr">
        <is>
          <t>POAM-001: Closed</t>
        </is>
      </c>
      <c r="AC4" s="11" t="inlineStr"/>
      <c r="AD4" s="13" t="n">
        <v>46220</v>
      </c>
      <c r="AE4" s="13" t="n">
        <v>46583</v>
      </c>
      <c r="AF4" s="11" t="inlineStr">
        <is>
          <t>PR</t>
        </is>
      </c>
      <c r="AG4" s="12" t="inlineStr">
        <is>
          <t>The reconciliation job is a detective and ticketing automation, not true HR-driven de-provisioning. The status stays Partially Implemented until lifecycle automation is licensed.</t>
        </is>
      </c>
    </row>
    <row r="5">
      <c r="A5" s="11" t="inlineStr">
        <is>
          <t>AC-2(3)</t>
        </is>
      </c>
      <c r="B5" s="11" t="inlineStr">
        <is>
          <t>AC - Access Control</t>
        </is>
      </c>
      <c r="C5" s="12" t="inlineStr">
        <is>
          <t>Disable Accounts</t>
        </is>
      </c>
      <c r="D5" s="11" t="inlineStr">
        <is>
          <t>Moderate</t>
        </is>
      </c>
      <c r="E5" s="12" t="inlineStr">
        <is>
          <t>Disable accounts within a defined period when they have expired, are no longer associated with a user or function, violate policy, or have been inactive for a defined period.</t>
        </is>
      </c>
      <c r="F5" s="11" t="inlineStr">
        <is>
          <t>Applicable</t>
        </is>
      </c>
      <c r="G5" s="12" t="inlineStr"/>
      <c r="H5" s="11" t="inlineStr">
        <is>
          <t>Hybrid</t>
        </is>
      </c>
      <c r="I5" s="11" t="inlineStr">
        <is>
          <t>SYS-01, SYS-02, SYS-03, SYS-07, SYS-09</t>
        </is>
      </c>
      <c r="J5" s="11" t="inlineStr">
        <is>
          <t>Nadia Rahman (IAM Engineer)</t>
        </is>
      </c>
      <c r="K5" s="11" t="inlineStr">
        <is>
          <t>REQ-004; REQ-013</t>
        </is>
      </c>
      <c r="L5" s="11" t="inlineStr">
        <is>
          <t>Implemented</t>
        </is>
      </c>
      <c r="M5" s="11" t="inlineStr">
        <is>
          <t>Partially Implemented</t>
        </is>
      </c>
      <c r="N5" s="11">
        <f>IF(L5&lt;&gt;M5,"Yes","No")</f>
        <v/>
      </c>
      <c r="O5" s="12" t="inlineStr">
        <is>
          <t>ACP-002 §5.3 requires disabling within 24 hours of termination, and §5.6 requires disabling after 90 days of inactivity. IT deactivates Okta accounts from manual tickets. There was no inactivity automation and no process for local accounts.</t>
        </is>
      </c>
      <c r="P5" s="12" t="inlineStr">
        <is>
          <t>Complete population of terminations in the period; de-provisioning logs for every system; inactivity report</t>
        </is>
      </c>
      <c r="Q5" s="11" t="inlineStr">
        <is>
          <t>EVID-003; EVID-004; EVID-007; EVID-061; EVID-062; EVID-064</t>
        </is>
      </c>
      <c r="R5" s="12" t="inlineStr">
        <is>
          <t>evidence/AC/EVID-003_peoplehub-terminations-2026H1.csv; evidence/AC/EVID-004_okta-deactivation-events-2026H1.csv; evidence/IA/EVID-007_aws-iam-credential-report_2026-06-30.csv; evidence/AC/EVID-061_terminations-and-deactivations_2026-07-01_to_09-09.csv; evidence/AC/EVID-062_hr-okta-reconciliation-job_2026-09-10.csv; evidence/IA/EVID-064_aws-iam-credential-report_2026-09-04.csv</t>
        </is>
      </c>
      <c r="S5" s="11" t="inlineStr">
        <is>
          <t>Operating Effectiveness</t>
        </is>
      </c>
      <c r="T5" s="11" t="inlineStr">
        <is>
          <t>Examine, Test</t>
        </is>
      </c>
      <c r="U5" s="12" t="inlineStr">
        <is>
          <t>Re-performed the 24h test on all 19 H1 terminations (docs/assessment/test-results/termination-deprovisioning.md). Expected: 19 of 19 within 24h, including non-SSO accounts. Actual: 16 of 19 within SLA, 1 late (209h), 2 never deactivated (one with a post-termination sign-in, which became INC-2026-0117), plus 1 active local AWS IAM user and 1 Quarrystone portal account belonging to leavers. Validation re-test (2026-09-10): 7 of 7 within SLA, and the reconciliation job reported 0 exceptions.</t>
        </is>
      </c>
      <c r="V5" s="11" t="inlineStr">
        <is>
          <t>Other Than Satisfied</t>
        </is>
      </c>
      <c r="W5" s="12" t="inlineStr">
        <is>
          <t>De-provisioning depended on manual tickets and missed local accounts.</t>
        </is>
      </c>
      <c r="X5" s="11" t="inlineStr">
        <is>
          <t>High</t>
        </is>
      </c>
      <c r="Y5" s="11" t="inlineStr">
        <is>
          <t>RISK-002</t>
        </is>
      </c>
      <c r="Z5" s="11" t="inlineStr">
        <is>
          <t>FIND-001</t>
        </is>
      </c>
      <c r="AA5" s="11" t="inlineStr">
        <is>
          <t>POAM-001</t>
        </is>
      </c>
      <c r="AB5" s="11" t="inlineStr">
        <is>
          <t>POAM-001: Closed</t>
        </is>
      </c>
      <c r="AC5" s="11" t="inlineStr"/>
      <c r="AD5" s="13" t="n">
        <v>46275</v>
      </c>
      <c r="AE5" s="13" t="n">
        <v>46583</v>
      </c>
      <c r="AF5" s="11" t="inlineStr">
        <is>
          <t>PR</t>
        </is>
      </c>
      <c r="AG5" s="12" t="inlineStr">
        <is>
          <t>Remediation validated 2026-09-10. Full re-test at the FY27 assessment because the post-fix operating sample is small (7).</t>
        </is>
      </c>
    </row>
    <row r="6">
      <c r="A6" s="11" t="inlineStr">
        <is>
          <t>AC-5</t>
        </is>
      </c>
      <c r="B6" s="11" t="inlineStr">
        <is>
          <t>AC - Access Control</t>
        </is>
      </c>
      <c r="C6" s="12" t="inlineStr">
        <is>
          <t>Separation of Duties</t>
        </is>
      </c>
      <c r="D6" s="11" t="inlineStr">
        <is>
          <t>Moderate</t>
        </is>
      </c>
      <c r="E6" s="12" t="inlineStr">
        <is>
          <t>Identify and document duties that require separation, and define system access authorizations that support that separation.</t>
        </is>
      </c>
      <c r="F6" s="11" t="inlineStr">
        <is>
          <t>Applicable</t>
        </is>
      </c>
      <c r="G6" s="12" t="inlineStr"/>
      <c r="H6" s="11" t="inlineStr">
        <is>
          <t>System-specific (Ledgerline)</t>
        </is>
      </c>
      <c r="I6" s="11" t="inlineStr">
        <is>
          <t>SYS-07</t>
        </is>
      </c>
      <c r="J6" s="11" t="inlineStr">
        <is>
          <t>Laura Brenneman (Controller)</t>
        </is>
      </c>
      <c r="K6" s="11" t="inlineStr">
        <is>
          <t>REQ-023; REQ-024</t>
        </is>
      </c>
      <c r="L6" s="11" t="inlineStr">
        <is>
          <t>Implemented</t>
        </is>
      </c>
      <c r="M6" s="11" t="inlineStr">
        <is>
          <t>Partially Implemented</t>
        </is>
      </c>
      <c r="N6" s="11">
        <f>IF(L6&lt;&gt;M6,"Yes","No")</f>
        <v/>
      </c>
      <c r="O6" s="12" t="inlineStr">
        <is>
          <t>Ledgerline has an SoD ruleset (SOD-01 vendor master vs payment approval; SOD-02 AP entry vs approval). After the AP Specialist left in 2026-05, the Senior Accountant held both Vendor Master Maintain and Payment Approver (&lt;= $25k). The compensating control is a monthly vendor-master change report that the Controller reviews and signs.</t>
        </is>
      </c>
      <c r="P6" s="12" t="inlineStr">
        <is>
          <t>SoD matrix; role assignments; evidence of the compensating review for each month</t>
        </is>
      </c>
      <c r="Q6" s="11" t="inlineStr">
        <is>
          <t>EVID-014; EVID-015; EVID-060</t>
        </is>
      </c>
      <c r="R6" s="12" t="inlineStr">
        <is>
          <t>access-review/source-exports/sod_rules.csv; GRC-Vault:/WCP-2026/AC/EVID-015_vendor-master-reviews-H1.pdf; risk/risk-acceptance/RACC-001.md</t>
        </is>
      </c>
      <c r="S6" s="11" t="inlineStr">
        <is>
          <t>Operating Effectiveness</t>
        </is>
      </c>
      <c r="T6" s="11" t="inlineStr">
        <is>
          <t>Examine, Interview, Test</t>
        </is>
      </c>
      <c r="U6" s="12" t="inlineStr">
        <is>
          <t>Tested role assignments against the SoD rules (review engine) and inspected 6 of 6 monthly compensating reviews (Jan–Jun). Expected: no user holds conflicting roles, or a documented and operating compensating control exists. Actual: 1 conflict (jmercer, SOD-01). The compensating review operated 6 of 6 months (signed, dated, 2 bank-detail changes independently verified by callback). The conflict was not formally risk-accepted until RACC-001 (2026-08-12).</t>
        </is>
      </c>
      <c r="V6" s="11" t="inlineStr">
        <is>
          <t>Other Than Satisfied</t>
        </is>
      </c>
      <c r="W6" s="12" t="inlineStr">
        <is>
          <t>Conflicting duties held by one user. The compensating control operates, but it was undocumented as a risk decision.</t>
        </is>
      </c>
      <c r="X6" s="11" t="inlineStr">
        <is>
          <t>Moderate</t>
        </is>
      </c>
      <c r="Y6" s="11" t="inlineStr">
        <is>
          <t>RISK-013</t>
        </is>
      </c>
      <c r="Z6" s="11" t="inlineStr">
        <is>
          <t>FIND-007</t>
        </is>
      </c>
      <c r="AA6" s="11" t="inlineStr">
        <is>
          <t>POAM-007</t>
        </is>
      </c>
      <c r="AB6" s="11" t="inlineStr">
        <is>
          <t>POAM-007: Risk Accepted</t>
        </is>
      </c>
      <c r="AC6" s="11" t="inlineStr"/>
      <c r="AD6" s="13" t="n">
        <v>46220</v>
      </c>
      <c r="AE6" s="13" t="n">
        <v>46477</v>
      </c>
      <c r="AF6" s="11" t="inlineStr">
        <is>
          <t>PR</t>
        </is>
      </c>
      <c r="AG6" s="12" t="inlineStr">
        <is>
          <t>Formally accepted (RACC-001, CFO, expires 2027-03-31). This is the project's worked example of a compensating control plus risk acceptance.</t>
        </is>
      </c>
    </row>
    <row r="7">
      <c r="A7" s="11" t="inlineStr">
        <is>
          <t>AC-6</t>
        </is>
      </c>
      <c r="B7" s="11" t="inlineStr">
        <is>
          <t>AC - Access Control</t>
        </is>
      </c>
      <c r="C7" s="12" t="inlineStr">
        <is>
          <t>Least Privilege</t>
        </is>
      </c>
      <c r="D7" s="11" t="inlineStr">
        <is>
          <t>Moderate</t>
        </is>
      </c>
      <c r="E7" s="12" t="inlineStr">
        <is>
          <t>Employ the principle of least privilege, allowing only authorized accesses necessary to accomplish assigned tasks.</t>
        </is>
      </c>
      <c r="F7" s="11" t="inlineStr">
        <is>
          <t>Applicable</t>
        </is>
      </c>
      <c r="G7" s="12" t="inlineStr"/>
      <c r="H7" s="11" t="inlineStr">
        <is>
          <t>Hybrid</t>
        </is>
      </c>
      <c r="I7" s="11" t="inlineStr">
        <is>
          <t>SYS-01, SYS-02, SYS-03, SYS-04</t>
        </is>
      </c>
      <c r="J7" s="11" t="inlineStr">
        <is>
          <t>Tomasz Wierzbicki (Director, Platform Engineering)</t>
        </is>
      </c>
      <c r="K7" s="11" t="inlineStr">
        <is>
          <t>REQ-001; REQ-014; REQ-023</t>
        </is>
      </c>
      <c r="L7" s="11" t="inlineStr">
        <is>
          <t>Implemented</t>
        </is>
      </c>
      <c r="M7" s="11" t="inlineStr">
        <is>
          <t>Partially Implemented</t>
        </is>
      </c>
      <c r="N7" s="11">
        <f>IF(L7&lt;&gt;M7,"Yes","No")</f>
        <v/>
      </c>
      <c r="O7" s="12" t="inlineStr">
        <is>
          <t>A role-based access baseline exists (role_access_matrix). AWS permission sets are assigned through Okta groups. Temporary grants (for migrations and troubleshooting) have no expiry mechanism.</t>
        </is>
      </c>
      <c r="P7" s="12" t="inlineStr">
        <is>
          <t>Role baseline; entitlement exports; justification for privileged grants</t>
        </is>
      </c>
      <c r="Q7" s="11" t="inlineStr">
        <is>
          <t>EVID-006; EVID-016; EVID-017; EVID-075; EVID-076</t>
        </is>
      </c>
      <c r="R7" s="12" t="inlineStr">
        <is>
          <t>access-review/source-exports/entitlements.csv; access-review/source-exports/entitlements.csv; access-review/source-exports/entitlements.csv; GRC-Vault:/WCP-2026/AC/EVID-075_idc-assignments-2026-09-03.csv; GRC-Vault:/WCP-2026/AC/EVID-076_github-owners-2026-08-12.csv</t>
        </is>
      </c>
      <c r="S7" s="11" t="inlineStr">
        <is>
          <t>Operating Effectiveness</t>
        </is>
      </c>
      <c r="T7" s="11" t="inlineStr">
        <is>
          <t>Examine, Test</t>
        </is>
      </c>
      <c r="U7" s="12" t="inlineStr">
        <is>
          <t>Compared every privileged and PHI entitlement to the role baseline. Expected: 0 grants outside the baseline without approved justification. Actual: 8 rows outside the baseline (F-BASELINE), all confirmed on review. 6 are excessive privileged grants (2 prod AdministratorAccess, 2 GitHub owners, 1 Okta Super Admin, 1 PHI database write) under FIND-003. The other 2 are PHI read access kept after a transfer (FIND-004) and PHI access outside a contractor's SOW (FIND-006).</t>
        </is>
      </c>
      <c r="V7" s="11" t="inlineStr">
        <is>
          <t>Other Than Satisfied</t>
        </is>
      </c>
      <c r="W7" s="12" t="inlineStr">
        <is>
          <t>Temporary privileged grants never expire; access is not re-baselined when roles change.</t>
        </is>
      </c>
      <c r="X7" s="11" t="inlineStr">
        <is>
          <t>High</t>
        </is>
      </c>
      <c r="Y7" s="11" t="inlineStr">
        <is>
          <t>RISK-001; RISK-004</t>
        </is>
      </c>
      <c r="Z7" s="11" t="inlineStr">
        <is>
          <t>FIND-003</t>
        </is>
      </c>
      <c r="AA7" s="11" t="inlineStr">
        <is>
          <t>POAM-003</t>
        </is>
      </c>
      <c r="AB7" s="11" t="inlineStr">
        <is>
          <t>POAM-003: In Progress</t>
        </is>
      </c>
      <c r="AC7" s="11" t="inlineStr"/>
      <c r="AD7" s="13" t="n">
        <v>46220</v>
      </c>
      <c r="AE7" s="13" t="n">
        <v>46331</v>
      </c>
      <c r="AF7" s="11" t="inlineStr">
        <is>
          <t>PR</t>
        </is>
      </c>
      <c r="AG7" s="12" t="inlineStr"/>
    </row>
    <row r="8">
      <c r="A8" s="11" t="inlineStr">
        <is>
          <t>AC-6(2)</t>
        </is>
      </c>
      <c r="B8" s="11" t="inlineStr">
        <is>
          <t>AC - Access Control</t>
        </is>
      </c>
      <c r="C8" s="12" t="inlineStr">
        <is>
          <t>Non-privileged Access for Nonsecurity Functions</t>
        </is>
      </c>
      <c r="D8" s="11" t="inlineStr">
        <is>
          <t>Moderate</t>
        </is>
      </c>
      <c r="E8" s="12" t="inlineStr">
        <is>
          <t>Require users of privileged accounts or roles to use non-privileged accounts or roles when accessing nonsecurity functions.</t>
        </is>
      </c>
      <c r="F8" s="11" t="inlineStr">
        <is>
          <t>Applicable</t>
        </is>
      </c>
      <c r="G8" s="12" t="inlineStr"/>
      <c r="H8" s="11" t="inlineStr">
        <is>
          <t>Hybrid</t>
        </is>
      </c>
      <c r="I8" s="11" t="inlineStr">
        <is>
          <t>SYS-01, SYS-02</t>
        </is>
      </c>
      <c r="J8" s="11" t="inlineStr">
        <is>
          <t>Nadia Rahman (IAM Engineer)</t>
        </is>
      </c>
      <c r="K8" s="11" t="inlineStr">
        <is>
          <t>REQ-003; REQ-014</t>
        </is>
      </c>
      <c r="L8" s="11" t="inlineStr">
        <is>
          <t>Implemented</t>
        </is>
      </c>
      <c r="M8" s="11" t="inlineStr">
        <is>
          <t>Partially Implemented</t>
        </is>
      </c>
      <c r="N8" s="11">
        <f>IF(L8&lt;&gt;M8,"Yes","No")</f>
        <v/>
      </c>
      <c r="O8" s="12" t="inlineStr">
        <is>
          <t>ACP-002 §5.4 (since 2025-07) requires separate -adm accounts for AWS prod AdministratorAccess and Okta Super Administrator. Two admins (jkim-adm, nrahman-adm) follow it. Others still hold admin roles on email and browsing accounts.</t>
        </is>
      </c>
      <c r="P8" s="12" t="inlineStr">
        <is>
          <t>List of privileged role holders with account type</t>
        </is>
      </c>
      <c r="Q8" s="11" t="inlineStr">
        <is>
          <t>EVID-005; EVID-016; EVID-075</t>
        </is>
      </c>
      <c r="R8" s="12" t="inlineStr">
        <is>
          <t>access-review/source-exports/okta_users.csv; access-review/source-exports/entitlements.csv; GRC-Vault:/WCP-2026/AC/EVID-075_idc-assignments-2026-09-03.csv</t>
        </is>
      </c>
      <c r="S8" s="11" t="inlineStr">
        <is>
          <t>Implementation</t>
        </is>
      </c>
      <c r="T8" s="11" t="inlineStr">
        <is>
          <t>Examine, Test</t>
        </is>
      </c>
      <c r="U8" s="12" t="inlineStr">
        <is>
          <t>Tested account type for every holder of the two covered roles. Expected: all on -adm or break-glass accounts. Actual: 6 of 10 covered assignments were not on -adm or break-glass accounts (F-DAILYADMIN): 2 legitimate SRE holders (AR-EX-10), and 4 assignments that were also excessive or orphaned (AR-EX-03/05/06/09).</t>
        </is>
      </c>
      <c r="V8" s="11" t="inlineStr">
        <is>
          <t>Other Than Satisfied</t>
        </is>
      </c>
      <c r="W8" s="12" t="inlineStr">
        <is>
          <t>Separate admin accounts are required by policy but not implemented for most admins.</t>
        </is>
      </c>
      <c r="X8" s="11" t="inlineStr">
        <is>
          <t>High</t>
        </is>
      </c>
      <c r="Y8" s="11" t="inlineStr">
        <is>
          <t>RISK-001</t>
        </is>
      </c>
      <c r="Z8" s="11" t="inlineStr">
        <is>
          <t>FIND-003</t>
        </is>
      </c>
      <c r="AA8" s="11" t="inlineStr">
        <is>
          <t>POAM-003</t>
        </is>
      </c>
      <c r="AB8" s="11" t="inlineStr">
        <is>
          <t>POAM-003: In Progress</t>
        </is>
      </c>
      <c r="AC8" s="11" t="inlineStr"/>
      <c r="AD8" s="13" t="n">
        <v>46220</v>
      </c>
      <c r="AE8" s="13" t="n">
        <v>46331</v>
      </c>
      <c r="AF8" s="11" t="inlineStr">
        <is>
          <t>PR</t>
        </is>
      </c>
      <c r="AG8" s="12" t="inlineStr"/>
    </row>
    <row r="9">
      <c r="A9" s="11" t="inlineStr">
        <is>
          <t>AC-6(5)</t>
        </is>
      </c>
      <c r="B9" s="11" t="inlineStr">
        <is>
          <t>AC - Access Control</t>
        </is>
      </c>
      <c r="C9" s="12" t="inlineStr">
        <is>
          <t>Privileged Accounts</t>
        </is>
      </c>
      <c r="D9" s="11" t="inlineStr">
        <is>
          <t>Moderate</t>
        </is>
      </c>
      <c r="E9" s="12" t="inlineStr">
        <is>
          <t>Restrict privileged accounts on the system to defined personnel or roles.</t>
        </is>
      </c>
      <c r="F9" s="11" t="inlineStr">
        <is>
          <t>Applicable</t>
        </is>
      </c>
      <c r="G9" s="12" t="inlineStr"/>
      <c r="H9" s="11" t="inlineStr">
        <is>
          <t>Hybrid</t>
        </is>
      </c>
      <c r="I9" s="11" t="inlineStr">
        <is>
          <t>SYS-01, SYS-02, SYS-03</t>
        </is>
      </c>
      <c r="J9" s="11" t="inlineStr">
        <is>
          <t>Tomasz Wierzbicki (Director, Platform Engineering)</t>
        </is>
      </c>
      <c r="K9" s="11" t="inlineStr">
        <is>
          <t>REQ-003; REQ-014; REQ-023</t>
        </is>
      </c>
      <c r="L9" s="11" t="inlineStr">
        <is>
          <t>Implemented</t>
        </is>
      </c>
      <c r="M9" s="11" t="inlineStr">
        <is>
          <t>Partially Implemented</t>
        </is>
      </c>
      <c r="N9" s="11">
        <f>IF(L9&lt;&gt;M9,"Yes","No")</f>
        <v/>
      </c>
      <c r="O9" s="12" t="inlineStr">
        <is>
          <t>Defined privileged roles are SRE (AWS admin), IAM Engineer (Okta Super Admin), and CTO plus platform (up to 3 GitHub owners). Break-glass accounts are vaulted and tested quarterly.</t>
        </is>
      </c>
      <c r="P9" s="12" t="inlineStr">
        <is>
          <t>Privileged role definitions; complete privileged-account population per system</t>
        </is>
      </c>
      <c r="Q9" s="11" t="inlineStr">
        <is>
          <t>EVID-016; EVID-017; EVID-075; EVID-076; EVID-077</t>
        </is>
      </c>
      <c r="R9" s="12" t="inlineStr">
        <is>
          <t>access-review/source-exports/entitlements.csv; access-review/source-exports/entitlements.csv; GRC-Vault:/WCP-2026/AC/EVID-075_idc-assignments-2026-09-03.csv; GRC-Vault:/WCP-2026/AC/EVID-076_github-owners-2026-08-12.csv; GRC-Vault:/WCP-2026/AC/EVID-077_okta-admin-roles-2026-07-21.csv</t>
        </is>
      </c>
      <c r="S9" s="11" t="inlineStr">
        <is>
          <t>Operating Effectiveness</t>
        </is>
      </c>
      <c r="T9" s="11" t="inlineStr">
        <is>
          <t>Examine, Test</t>
        </is>
      </c>
      <c r="U9" s="12" t="inlineStr">
        <is>
          <t>Enumerated all 37 privileged entitlements. Expected: every holder is in a defined privileged role. Actual: AWS prod AdministratorAccess had 6 human-linked holders (including a terminated employee's local IAM user) against 3 authorized SRE roles. GitHub owners were 5 against a maximum of 3. Okta Super Admin had 1 unauthorized holder. Break-glass accounts were well controlled (last tests 2026-04-15 and 2026-05-12).</t>
        </is>
      </c>
      <c r="V9" s="11" t="inlineStr">
        <is>
          <t>Other Than Satisfied</t>
        </is>
      </c>
      <c r="W9" s="12" t="inlineStr">
        <is>
          <t>More privileged holders than the defined roles allow.</t>
        </is>
      </c>
      <c r="X9" s="11" t="inlineStr">
        <is>
          <t>High</t>
        </is>
      </c>
      <c r="Y9" s="11" t="inlineStr">
        <is>
          <t>RISK-001</t>
        </is>
      </c>
      <c r="Z9" s="11" t="inlineStr">
        <is>
          <t>FIND-003</t>
        </is>
      </c>
      <c r="AA9" s="11" t="inlineStr">
        <is>
          <t>POAM-003</t>
        </is>
      </c>
      <c r="AB9" s="11" t="inlineStr">
        <is>
          <t>POAM-003: In Progress</t>
        </is>
      </c>
      <c r="AC9" s="11" t="inlineStr"/>
      <c r="AD9" s="13" t="n">
        <v>46220</v>
      </c>
      <c r="AE9" s="13" t="n">
        <v>46331</v>
      </c>
      <c r="AF9" s="11" t="inlineStr">
        <is>
          <t>PR</t>
        </is>
      </c>
      <c r="AG9" s="12" t="inlineStr"/>
    </row>
    <row r="10">
      <c r="A10" s="11" t="inlineStr">
        <is>
          <t>AC-6(7)</t>
        </is>
      </c>
      <c r="B10" s="11" t="inlineStr">
        <is>
          <t>AC - Access Control</t>
        </is>
      </c>
      <c r="C10" s="12" t="inlineStr">
        <is>
          <t>Review of User Privileges</t>
        </is>
      </c>
      <c r="D10" s="11" t="inlineStr">
        <is>
          <t>Moderate</t>
        </is>
      </c>
      <c r="E10" s="12" t="inlineStr">
        <is>
          <t>Review the privileges assigned to defined roles or classes of users at a defined frequency to validate the need for them, and reassign or remove privileges as necessary.</t>
        </is>
      </c>
      <c r="F10" s="11" t="inlineStr">
        <is>
          <t>Applicable</t>
        </is>
      </c>
      <c r="G10" s="12" t="inlineStr"/>
      <c r="H10" s="11" t="inlineStr">
        <is>
          <t>Hybrid</t>
        </is>
      </c>
      <c r="I10" s="11" t="inlineStr">
        <is>
          <t>SYS-01, SYS-02, SYS-03, SYS-04</t>
        </is>
      </c>
      <c r="J10" s="11" t="inlineStr">
        <is>
          <t>Alicia Moreno (CISO)</t>
        </is>
      </c>
      <c r="K10" s="11" t="inlineStr">
        <is>
          <t>REQ-004; REQ-014; REQ-023</t>
        </is>
      </c>
      <c r="L10" s="11" t="inlineStr">
        <is>
          <t>Implemented</t>
        </is>
      </c>
      <c r="M10" s="11" t="inlineStr">
        <is>
          <t>Partially Implemented</t>
        </is>
      </c>
      <c r="N10" s="11">
        <f>IF(L10&lt;&gt;M10,"Yes","No")</f>
        <v/>
      </c>
      <c r="O10" s="12" t="inlineStr">
        <is>
          <t>Quarterly Okta manager certification campaigns cover app-assignment level access only. AWS permission sets, GitHub roles, database roles, and local accounts were never in scope. Before this assessment, no privileged-access review existed.</t>
        </is>
      </c>
      <c r="P10" s="12" t="inlineStr">
        <is>
          <t>Review campaign exports showing population, reviewer, decision, date, and resulting changes</t>
        </is>
      </c>
      <c r="Q10" s="11" t="inlineStr">
        <is>
          <t>EVID-008; EVID-009; EVID-074</t>
        </is>
      </c>
      <c r="R10" s="12" t="inlineStr">
        <is>
          <t>evidence/AC/EVID-008_q1-certification-summary.md; evidence/AC/EVID-009_insufficient-screenshot-example.md; GRC-Vault:/WCP-2026/AC/EVID-074_pending</t>
        </is>
      </c>
      <c r="S10" s="11" t="inlineStr">
        <is>
          <t>Operating Effectiveness</t>
        </is>
      </c>
      <c r="T10" s="11" t="inlineStr">
        <is>
          <t>Examine, Interview, Test</t>
        </is>
      </c>
      <c r="U10" s="12" t="inlineStr">
        <is>
          <t>Examined the Q1 2026 campaign export (412 decisions by 23 reviewers). Expected: complete population, meaningful decisions, and removals actioned. Actual: 100% approved, and 17 of 23 reviewers finished in under 5 minutes. The campaign approved rgupta2 (duplicate) and cfernandes's pre-transfer access. Privileged systems were out of scope. The dashboard screenshot first provided (EVID-009) was insufficient: no population, no decisions.</t>
        </is>
      </c>
      <c r="V10" s="11" t="inlineStr">
        <is>
          <t>Other Than Satisfied</t>
        </is>
      </c>
      <c r="W10" s="12" t="inlineStr">
        <is>
          <t>Recertification is incomplete in scope and ineffective in operation (rubber-stamping).</t>
        </is>
      </c>
      <c r="X10" s="11" t="inlineStr">
        <is>
          <t>Moderate</t>
        </is>
      </c>
      <c r="Y10" s="11" t="inlineStr">
        <is>
          <t>RISK-004</t>
        </is>
      </c>
      <c r="Z10" s="11" t="inlineStr">
        <is>
          <t>FIND-004</t>
        </is>
      </c>
      <c r="AA10" s="11" t="inlineStr">
        <is>
          <t>POAM-004</t>
        </is>
      </c>
      <c r="AB10" s="11" t="inlineStr">
        <is>
          <t>POAM-004: In Progress</t>
        </is>
      </c>
      <c r="AC10" s="11" t="inlineStr"/>
      <c r="AD10" s="13" t="n">
        <v>46220</v>
      </c>
      <c r="AE10" s="13" t="n">
        <v>46326</v>
      </c>
      <c r="AF10" s="11" t="inlineStr">
        <is>
          <t>PR</t>
        </is>
      </c>
      <c r="AG10" s="12" t="inlineStr">
        <is>
          <t>This assessment's access review (106 rows, 9 systems) is the first complete privileged review. The Q3 campaign (EVID-074) is the first under the new design.</t>
        </is>
      </c>
    </row>
    <row r="11">
      <c r="A11" s="11" t="inlineStr">
        <is>
          <t>AC-17</t>
        </is>
      </c>
      <c r="B11" s="11" t="inlineStr">
        <is>
          <t>AC - Access Control</t>
        </is>
      </c>
      <c r="C11" s="12" t="inlineStr">
        <is>
          <t>Remote Access</t>
        </is>
      </c>
      <c r="D11" s="11" t="inlineStr">
        <is>
          <t>Moderate</t>
        </is>
      </c>
      <c r="E11" s="12" t="inlineStr">
        <is>
          <t>Establish usage restrictions, configuration requirements, and implementation guidance for each type of remote access, and authorize each type before allowing connections.</t>
        </is>
      </c>
      <c r="F11" s="11" t="inlineStr">
        <is>
          <t>Applicable</t>
        </is>
      </c>
      <c r="G11" s="12" t="inlineStr"/>
      <c r="H11" s="11" t="inlineStr">
        <is>
          <t>Hybrid</t>
        </is>
      </c>
      <c r="I11" s="11" t="inlineStr">
        <is>
          <t>SYS-01, SYS-10</t>
        </is>
      </c>
      <c r="J11" s="11" t="inlineStr">
        <is>
          <t>Tomasz Wierzbicki (Director, Platform Engineering)</t>
        </is>
      </c>
      <c r="K11" s="11" t="inlineStr">
        <is>
          <t>REQ-003</t>
        </is>
      </c>
      <c r="L11" s="11" t="inlineStr">
        <is>
          <t>Implemented</t>
        </is>
      </c>
      <c r="M11" s="11" t="inlineStr">
        <is>
          <t>Implemented</t>
        </is>
      </c>
      <c r="N11" s="11">
        <f>IF(L11&lt;&gt;M11,"Yes","No")</f>
        <v/>
      </c>
      <c r="O11" s="12" t="inlineStr">
        <is>
          <t>There is no network VPN into production. Administrative access uses AWS SSM Session Manager (sessions logged to log-archive) through IAM Identity Center, gated by Okta SSO+MFA from MDM-managed devices. No public bastions. wf-sftp-01 is administered through SSM only (except the RDP rule, reported under SC-7).</t>
        </is>
      </c>
      <c r="P11" s="12" t="inlineStr">
        <is>
          <t>Remote-access standard; SSM configuration; session logging; network exposure review</t>
        </is>
      </c>
      <c r="Q11" s="11" t="inlineStr">
        <is>
          <t>EVID-018; EVID-028</t>
        </is>
      </c>
      <c r="R11" s="12" t="inlineStr">
        <is>
          <t>GRC-Vault:/WCP-2026/AC/EVID-018_ssm-session-prefs.json; GRC-Vault:/WCP-2026/CM/EVID-028_securityhub.csv</t>
        </is>
      </c>
      <c r="S11" s="11" t="inlineStr">
        <is>
          <t>Implementation</t>
        </is>
      </c>
      <c r="T11" s="11" t="inlineStr">
        <is>
          <t>Examine, Test</t>
        </is>
      </c>
      <c r="U11" s="12" t="inlineStr">
        <is>
          <t>Examined the SSM session preferences (logging to S3 and CloudWatch enabled, KMS-encrypted) and confirmed no security groups allow SSH from the internet except the documented SFTP allowlist. Expected: remote administration only through authenticated, logged channels. Actual: met. The RDP exposure on wf-sftp-01 is an unauthorized deviation, reported under SC-7 and CM-6, not a remote-access design flaw.</t>
        </is>
      </c>
      <c r="V11" s="11" t="inlineStr">
        <is>
          <t>Satisfied</t>
        </is>
      </c>
      <c r="W11" s="12" t="inlineStr"/>
      <c r="X11" s="11" t="inlineStr"/>
      <c r="Y11" s="11" t="inlineStr"/>
      <c r="Z11" s="11" t="inlineStr"/>
      <c r="AA11" s="11" t="inlineStr"/>
      <c r="AB11" s="11" t="inlineStr">
        <is>
          <t>n/a</t>
        </is>
      </c>
      <c r="AC11" s="11" t="inlineStr"/>
      <c r="AD11" s="13" t="n">
        <v>46220</v>
      </c>
      <c r="AE11" s="13" t="n">
        <v>46583</v>
      </c>
      <c r="AF11" s="11" t="inlineStr">
        <is>
          <t>PR</t>
        </is>
      </c>
      <c r="AG11" s="12" t="inlineStr"/>
    </row>
    <row r="12">
      <c r="A12" s="11" t="inlineStr">
        <is>
          <t>AC-18</t>
        </is>
      </c>
      <c r="B12" s="11" t="inlineStr">
        <is>
          <t>AC - Access Control</t>
        </is>
      </c>
      <c r="C12" s="12" t="inlineStr">
        <is>
          <t>Wireless Access</t>
        </is>
      </c>
      <c r="D12" s="11" t="inlineStr">
        <is>
          <t>Moderate</t>
        </is>
      </c>
      <c r="E12" s="12" t="inlineStr">
        <is>
          <t>Establish configuration and connection requirements for wireless access and authorize it before allowing connections.</t>
        </is>
      </c>
      <c r="F12" s="11" t="inlineStr">
        <is>
          <t>Not Applicable</t>
        </is>
      </c>
      <c r="G12" s="12" t="inlineStr">
        <is>
          <t>No wireless networking exists within the WCP-PROD boundary (AWS-hosted). Office Wi-Fi is outside the boundary and has no privileged path to production; production access from any network requires Okta SSO+MFA. Re-examine if the boundary changes.</t>
        </is>
      </c>
      <c r="H12" s="11" t="inlineStr">
        <is>
          <t>n/a</t>
        </is>
      </c>
      <c r="I12" s="11" t="inlineStr">
        <is>
          <t>n/a</t>
        </is>
      </c>
      <c r="J12" s="11" t="inlineStr">
        <is>
          <t>Tomasz Wierzbicki (Director, Platform Engineering)</t>
        </is>
      </c>
      <c r="K12" s="11" t="inlineStr">
        <is>
          <t>REQ-001</t>
        </is>
      </c>
      <c r="L12" s="11" t="inlineStr">
        <is>
          <t>Not Applicable</t>
        </is>
      </c>
      <c r="M12" s="11" t="inlineStr">
        <is>
          <t>Not Applicable</t>
        </is>
      </c>
      <c r="N12" s="11">
        <f>IF(L12&lt;&gt;M12,"Yes","No")</f>
        <v/>
      </c>
      <c r="O12" s="12" t="inlineStr">
        <is>
          <t>n/a (see applicability rationale)</t>
        </is>
      </c>
      <c r="P12" s="12" t="inlineStr">
        <is>
          <t>Boundary definition confirming no wireless components</t>
        </is>
      </c>
      <c r="Q12" s="11" t="inlineStr">
        <is>
          <t>EVID-040</t>
        </is>
      </c>
      <c r="R12" s="12" t="inlineStr">
        <is>
          <t>docs/scope/system-profile.md</t>
        </is>
      </c>
      <c r="S12" s="11" t="inlineStr">
        <is>
          <t>Design</t>
        </is>
      </c>
      <c r="T12" s="11" t="inlineStr">
        <is>
          <t>Examine</t>
        </is>
      </c>
      <c r="U12" s="12" t="inlineStr">
        <is>
          <t>Examined the boundary diagram and the AWS network inventory. No wireless components are inside the boundary. N/A determination recorded in the scope statement.</t>
        </is>
      </c>
      <c r="V12" s="11" t="inlineStr">
        <is>
          <t>Not Assessed</t>
        </is>
      </c>
      <c r="W12" s="12" t="inlineStr"/>
      <c r="X12" s="11" t="inlineStr"/>
      <c r="Y12" s="11" t="inlineStr"/>
      <c r="Z12" s="11" t="inlineStr"/>
      <c r="AA12" s="11" t="inlineStr"/>
      <c r="AB12" s="11" t="inlineStr">
        <is>
          <t>n/a</t>
        </is>
      </c>
      <c r="AC12" s="11" t="inlineStr"/>
      <c r="AD12" s="13" t="n">
        <v>46220</v>
      </c>
      <c r="AE12" s="13" t="n">
        <v>46583</v>
      </c>
      <c r="AF12" s="11" t="inlineStr">
        <is>
          <t>PR</t>
        </is>
      </c>
      <c r="AG12" s="12" t="inlineStr"/>
    </row>
    <row r="13">
      <c r="A13" s="11" t="inlineStr">
        <is>
          <t>AT-2</t>
        </is>
      </c>
      <c r="B13" s="11" t="inlineStr">
        <is>
          <t>AT - Awareness and Training</t>
        </is>
      </c>
      <c r="C13" s="12" t="inlineStr">
        <is>
          <t>Literacy Training and Awareness</t>
        </is>
      </c>
      <c r="D13" s="11" t="inlineStr">
        <is>
          <t>Moderate</t>
        </is>
      </c>
      <c r="E13" s="12" t="inlineStr">
        <is>
          <t>Provide security and privacy literacy training to users at onboarding and at a defined frequency after that; include practical exercises (such as phishing simulations); update content after defined events.</t>
        </is>
      </c>
      <c r="F13" s="11" t="inlineStr">
        <is>
          <t>Applicable</t>
        </is>
      </c>
      <c r="G13" s="12" t="inlineStr"/>
      <c r="H13" s="11" t="inlineStr">
        <is>
          <t>Common (organization-wide)</t>
        </is>
      </c>
      <c r="I13" s="11" t="inlineStr">
        <is>
          <t>All workforce</t>
        </is>
      </c>
      <c r="J13" s="11" t="inlineStr">
        <is>
          <t>Denise Yamamoto (Director of People)</t>
        </is>
      </c>
      <c r="K13" s="11" t="inlineStr">
        <is>
          <t>REQ-015</t>
        </is>
      </c>
      <c r="L13" s="11" t="inlineStr">
        <is>
          <t>Implemented</t>
        </is>
      </c>
      <c r="M13" s="11" t="inlineStr">
        <is>
          <t>Partially Implemented</t>
        </is>
      </c>
      <c r="N13" s="11">
        <f>IF(L13&lt;&gt;M13,"Yes","No")</f>
        <v/>
      </c>
      <c r="O13" s="12" t="inlineStr">
        <is>
          <t>Annual HIPAA and security awareness module in the LMS, plus quarterly phishing simulations. Policy requires completion within 30 days of assignment and suspends access after 30 days overdue, but the suspension is not enforced.</t>
        </is>
      </c>
      <c r="P13" s="12" t="inlineStr">
        <is>
          <t>LMS completion report for the full workforce; phishing simulation results; escalation records</t>
        </is>
      </c>
      <c r="Q13" s="11" t="inlineStr">
        <is>
          <t>EVID-019</t>
        </is>
      </c>
      <c r="R13" s="12" t="inlineStr">
        <is>
          <t>GRC-Vault:/WCP-2026/AT/EVID-019_lms-completion-2026-06-30.csv</t>
        </is>
      </c>
      <c r="S13" s="11" t="inlineStr">
        <is>
          <t>Operating Effectiveness</t>
        </is>
      </c>
      <c r="T13" s="11" t="inlineStr">
        <is>
          <t>Examine, Test</t>
        </is>
      </c>
      <c r="U13" s="12" t="inlineStr">
        <is>
          <t>Compared the LMS roster (347) to the Okta active population. Expected: 100% completion (or documented exceptions). Actual: 316 of 347 (91%); 31 overdue, 4 of them with PHI data-store access. Phishing simulations ran 2 of 2 quarters (click rate 6.1% to 4.3%). Post-remediation: 344 of 347 (3 on leave) is under review (EVID-070).</t>
        </is>
      </c>
      <c r="V13" s="11" t="inlineStr">
        <is>
          <t>Other Than Satisfied</t>
        </is>
      </c>
      <c r="W13" s="12" t="inlineStr">
        <is>
          <t>Completion enforcement not operating.</t>
        </is>
      </c>
      <c r="X13" s="11" t="inlineStr">
        <is>
          <t>Low</t>
        </is>
      </c>
      <c r="Y13" s="11" t="inlineStr">
        <is>
          <t>RISK-015</t>
        </is>
      </c>
      <c r="Z13" s="11" t="inlineStr">
        <is>
          <t>FIND-019</t>
        </is>
      </c>
      <c r="AA13" s="11" t="inlineStr">
        <is>
          <t>POAM-019</t>
        </is>
      </c>
      <c r="AB13" s="11" t="inlineStr">
        <is>
          <t>POAM-019: Completed – Pending Validation</t>
        </is>
      </c>
      <c r="AC13" s="11" t="inlineStr"/>
      <c r="AD13" s="13" t="n">
        <v>46220</v>
      </c>
      <c r="AE13" s="13" t="n">
        <v>46310</v>
      </c>
      <c r="AF13" s="11" t="inlineStr">
        <is>
          <t>GV</t>
        </is>
      </c>
      <c r="AG13" s="12" t="inlineStr"/>
    </row>
    <row r="14">
      <c r="A14" s="11" t="inlineStr">
        <is>
          <t>AT-3</t>
        </is>
      </c>
      <c r="B14" s="11" t="inlineStr">
        <is>
          <t>AT - Awareness and Training</t>
        </is>
      </c>
      <c r="C14" s="12" t="inlineStr">
        <is>
          <t>Role-based Training</t>
        </is>
      </c>
      <c r="D14" s="11" t="inlineStr">
        <is>
          <t>Moderate</t>
        </is>
      </c>
      <c r="E14" s="12" t="inlineStr">
        <is>
          <t>Provide role-based security and privacy training to personnel with assigned roles before authorizing access, and at a defined frequency after that.</t>
        </is>
      </c>
      <c r="F14" s="11" t="inlineStr">
        <is>
          <t>Applicable</t>
        </is>
      </c>
      <c r="G14" s="12" t="inlineStr"/>
      <c r="H14" s="11" t="inlineStr">
        <is>
          <t>Common (organization-wide)</t>
        </is>
      </c>
      <c r="I14" s="11" t="inlineStr">
        <is>
          <t>Engineering, SRE, Clinical Ops, Security</t>
        </is>
      </c>
      <c r="J14" s="11" t="inlineStr">
        <is>
          <t>Denise Yamamoto (Director of People)</t>
        </is>
      </c>
      <c r="K14" s="11" t="inlineStr">
        <is>
          <t>REQ-015</t>
        </is>
      </c>
      <c r="L14" s="11" t="inlineStr">
        <is>
          <t>Implemented</t>
        </is>
      </c>
      <c r="M14" s="11" t="inlineStr">
        <is>
          <t>Implemented</t>
        </is>
      </c>
      <c r="N14" s="11">
        <f>IF(L14&lt;&gt;M14,"Yes","No")</f>
        <v/>
      </c>
      <c r="O14" s="12" t="inlineStr">
        <is>
          <t>Secure-coding training (annual) for engineers; privileged-user training for admins; HIPAA minimum-necessary training for clinical and support staff. Tracked in the LMS by role group.</t>
        </is>
      </c>
      <c r="P14" s="12" t="inlineStr">
        <is>
          <t>Role-based curricula and completion by role group</t>
        </is>
      </c>
      <c r="Q14" s="11" t="inlineStr">
        <is>
          <t>EVID-020</t>
        </is>
      </c>
      <c r="R14" s="12" t="inlineStr">
        <is>
          <t>GRC-Vault:/WCP-2026/AT/EVID-020_role-training.csv</t>
        </is>
      </c>
      <c r="S14" s="11" t="inlineStr">
        <is>
          <t>Operating Effectiveness</t>
        </is>
      </c>
      <c r="T14" s="11" t="inlineStr">
        <is>
          <t>Examine, Test</t>
        </is>
      </c>
      <c r="U14" s="12" t="inlineStr">
        <is>
          <t>Sampled 15 role holders (5 engineers, 5 admins, 5 support/clinical). Expected: role training complete before access, or within 30 days of the role change. Actual: 15 of 15 complete. One admin completed 9 days after receiving admin access, within the 30-day grace in the training standard.</t>
        </is>
      </c>
      <c r="V14" s="11" t="inlineStr">
        <is>
          <t>Satisfied</t>
        </is>
      </c>
      <c r="W14" s="12" t="inlineStr"/>
      <c r="X14" s="11" t="inlineStr"/>
      <c r="Y14" s="11" t="inlineStr"/>
      <c r="Z14" s="11" t="inlineStr"/>
      <c r="AA14" s="11" t="inlineStr"/>
      <c r="AB14" s="11" t="inlineStr">
        <is>
          <t>n/a</t>
        </is>
      </c>
      <c r="AC14" s="11" t="inlineStr"/>
      <c r="AD14" s="13" t="n">
        <v>46220</v>
      </c>
      <c r="AE14" s="13" t="n">
        <v>46583</v>
      </c>
      <c r="AF14" s="11" t="inlineStr">
        <is>
          <t>GV</t>
        </is>
      </c>
      <c r="AG14" s="12" t="inlineStr"/>
    </row>
    <row r="15">
      <c r="A15" s="11" t="inlineStr">
        <is>
          <t>AU-2</t>
        </is>
      </c>
      <c r="B15" s="11" t="inlineStr">
        <is>
          <t>AU - Audit and Accountability</t>
        </is>
      </c>
      <c r="C15" s="12" t="inlineStr">
        <is>
          <t>Event Logging</t>
        </is>
      </c>
      <c r="D15" s="11" t="inlineStr">
        <is>
          <t>Moderate</t>
        </is>
      </c>
      <c r="E15" s="12" t="inlineStr">
        <is>
          <t>Identify the event types the system can log; coordinate logging with other entities; specify the event types to be logged; review and update the selection at a defined frequency.</t>
        </is>
      </c>
      <c r="F15" s="11" t="inlineStr">
        <is>
          <t>Applicable</t>
        </is>
      </c>
      <c r="G15" s="12" t="inlineStr"/>
      <c r="H15" s="11" t="inlineStr">
        <is>
          <t>System-specific</t>
        </is>
      </c>
      <c r="I15" s="11" t="inlineStr">
        <is>
          <t>SYS-01, SYS-02, SYS-03, SYS-04</t>
        </is>
      </c>
      <c r="J15" s="11" t="inlineStr">
        <is>
          <t>Owen Castillo (Security Engineer)</t>
        </is>
      </c>
      <c r="K15" s="11" t="inlineStr">
        <is>
          <t>REQ-019; REQ-005</t>
        </is>
      </c>
      <c r="L15" s="11" t="inlineStr">
        <is>
          <t>Implemented</t>
        </is>
      </c>
      <c r="M15" s="11" t="inlineStr">
        <is>
          <t>Implemented</t>
        </is>
      </c>
      <c r="N15" s="11">
        <f>IF(L15&lt;&gt;M15,"Yes","No")</f>
        <v/>
      </c>
      <c r="O15" s="12" t="inlineStr">
        <is>
          <t>Logging &amp; Monitoring Standard LMS-004 defines required events. Sources include the AWS Organizations CloudTrail trail (management and S3 data events for PHI buckets), EKS audit logs, Aurora database activity logging for PHI tables, the application audit catalog (PHI view/export/print events with user, patient ID, and timestamp), and Okta and GitHub audit logs forwarded to the SIEM.</t>
        </is>
      </c>
      <c r="P15" s="12" t="inlineStr">
        <is>
          <t>Logging standard; trail configurations; sample events for each required type</t>
        </is>
      </c>
      <c r="Q15" s="11" t="inlineStr">
        <is>
          <t>EVID-021</t>
        </is>
      </c>
      <c r="R15" s="12" t="inlineStr">
        <is>
          <t>GRC-Vault:/WCP-2026/AU/EVID-021_logging-config-and-samples.zip</t>
        </is>
      </c>
      <c r="S15" s="11" t="inlineStr">
        <is>
          <t>Implementation</t>
        </is>
      </c>
      <c r="T15" s="11" t="inlineStr">
        <is>
          <t>Examine, Test</t>
        </is>
      </c>
      <c r="U15" s="12" t="inlineStr">
        <is>
          <t>Traced 10 required event types (for example, PHI record view, bulk export, IAM policy change, Okta admin role grant) from action to SIEM. Expected: each event recorded with who, what, when, and where. Actual: 10 of 10 found with required fields. The event catalog was last reviewed 2026-02.</t>
        </is>
      </c>
      <c r="V15" s="11" t="inlineStr">
        <is>
          <t>Satisfied</t>
        </is>
      </c>
      <c r="W15" s="12" t="inlineStr"/>
      <c r="X15" s="11" t="inlineStr"/>
      <c r="Y15" s="11" t="inlineStr"/>
      <c r="Z15" s="11" t="inlineStr"/>
      <c r="AA15" s="11" t="inlineStr"/>
      <c r="AB15" s="11" t="inlineStr">
        <is>
          <t>n/a</t>
        </is>
      </c>
      <c r="AC15" s="11" t="inlineStr"/>
      <c r="AD15" s="13" t="n">
        <v>46220</v>
      </c>
      <c r="AE15" s="13" t="n">
        <v>46583</v>
      </c>
      <c r="AF15" s="11" t="inlineStr">
        <is>
          <t>DE</t>
        </is>
      </c>
      <c r="AG15" s="12" t="inlineStr"/>
    </row>
    <row r="16">
      <c r="A16" s="11" t="inlineStr">
        <is>
          <t>AU-6</t>
        </is>
      </c>
      <c r="B16" s="11" t="inlineStr">
        <is>
          <t>AU - Audit and Accountability</t>
        </is>
      </c>
      <c r="C16" s="12" t="inlineStr">
        <is>
          <t>Audit Record Review, Analysis, and Reporting</t>
        </is>
      </c>
      <c r="D16" s="11" t="inlineStr">
        <is>
          <t>Moderate</t>
        </is>
      </c>
      <c r="E16" s="12" t="inlineStr">
        <is>
          <t>Review and analyze audit records at a defined frequency for signs of inappropriate or unusual activity; report findings to defined personnel; adjust review when risk changes.</t>
        </is>
      </c>
      <c r="F16" s="11" t="inlineStr">
        <is>
          <t>Applicable</t>
        </is>
      </c>
      <c r="G16" s="12" t="inlineStr"/>
      <c r="H16" s="11" t="inlineStr">
        <is>
          <t>System-specific</t>
        </is>
      </c>
      <c r="I16" s="11" t="inlineStr">
        <is>
          <t>SYS-01, SYS-02, SYS-08</t>
        </is>
      </c>
      <c r="J16" s="11" t="inlineStr">
        <is>
          <t>Owen Castillo (Security Engineer)</t>
        </is>
      </c>
      <c r="K16" s="11" t="inlineStr">
        <is>
          <t>REQ-019; REQ-005</t>
        </is>
      </c>
      <c r="L16" s="11" t="inlineStr">
        <is>
          <t>Implemented</t>
        </is>
      </c>
      <c r="M16" s="11" t="inlineStr">
        <is>
          <t>Partially Implemented</t>
        </is>
      </c>
      <c r="N16" s="11">
        <f>IF(L16&lt;&gt;M16,"Yes","No")</f>
        <v/>
      </c>
      <c r="O16" s="12" t="inlineStr">
        <is>
          <t>MDR monitors alerts 24x7 (SI-4). Separately, LMS-004 §6 requires a weekly human review of privileged activity (AWS admin actions, Okta admin changes, GitHub owner actions), documented in a SEC ticket. One primary reviewer, no designated backup.</t>
        </is>
      </c>
      <c r="P16" s="12" t="inlineStr">
        <is>
          <t>Weekly review tickets for the whole period with dispositions</t>
        </is>
      </c>
      <c r="Q16" s="11" t="inlineStr">
        <is>
          <t>EVID-022; EVID-072</t>
        </is>
      </c>
      <c r="R16" s="12" t="inlineStr">
        <is>
          <t>evidence/AU/EVID-022_privileged-activity-reviews-2026H1.csv; GRC-Vault:/WCP-2026/AU/EVID-072_reviews-W27-W37.csv</t>
        </is>
      </c>
      <c r="S16" s="11" t="inlineStr">
        <is>
          <t>Operating Effectiveness</t>
        </is>
      </c>
      <c r="T16" s="11" t="inlineStr">
        <is>
          <t>Examine, Test</t>
        </is>
      </c>
      <c r="U16" s="12" t="inlineStr">
        <is>
          <t>Tested all 26 weeks (test-results/au6-log-review.md). Expected: 26 of 26 performed within 5 days with every flag dispositioned. Actual: 19 performed and 17 fully effective (65%). 7 weeks were missed (migration, PTO) and 2 reviews were marked 'reviewed' with undispositioned flags. The review scope also excluded local IAM users.</t>
        </is>
      </c>
      <c r="V16" s="11" t="inlineStr">
        <is>
          <t>Other Than Satisfied</t>
        </is>
      </c>
      <c r="W16" s="12" t="inlineStr">
        <is>
          <t>Key detective review has a single point of failure and incomplete scope.</t>
        </is>
      </c>
      <c r="X16" s="11" t="inlineStr">
        <is>
          <t>Moderate</t>
        </is>
      </c>
      <c r="Y16" s="11" t="inlineStr">
        <is>
          <t>RISK-005</t>
        </is>
      </c>
      <c r="Z16" s="11" t="inlineStr">
        <is>
          <t>FIND-009</t>
        </is>
      </c>
      <c r="AA16" s="11" t="inlineStr">
        <is>
          <t>POAM-009</t>
        </is>
      </c>
      <c r="AB16" s="11" t="inlineStr">
        <is>
          <t>POAM-009: In Progress</t>
        </is>
      </c>
      <c r="AC16" s="11" t="inlineStr"/>
      <c r="AD16" s="13" t="n">
        <v>46220</v>
      </c>
      <c r="AE16" s="13" t="n">
        <v>46326</v>
      </c>
      <c r="AF16" s="11" t="inlineStr">
        <is>
          <t>DE</t>
        </is>
      </c>
      <c r="AG16" s="12" t="inlineStr"/>
    </row>
    <row r="17">
      <c r="A17" s="11" t="inlineStr">
        <is>
          <t>AU-9</t>
        </is>
      </c>
      <c r="B17" s="11" t="inlineStr">
        <is>
          <t>AU - Audit and Accountability</t>
        </is>
      </c>
      <c r="C17" s="12" t="inlineStr">
        <is>
          <t>Protection of Audit Information</t>
        </is>
      </c>
      <c r="D17" s="11" t="inlineStr">
        <is>
          <t>Moderate</t>
        </is>
      </c>
      <c r="E17" s="12" t="inlineStr">
        <is>
          <t>Protect audit information and logging tools from unauthorized access, modification, and deletion; alert on detected unauthorized access, modification, or deletion.</t>
        </is>
      </c>
      <c r="F17" s="11" t="inlineStr">
        <is>
          <t>Applicable</t>
        </is>
      </c>
      <c r="G17" s="12" t="inlineStr"/>
      <c r="H17" s="11" t="inlineStr">
        <is>
          <t>System-specific</t>
        </is>
      </c>
      <c r="I17" s="11" t="inlineStr">
        <is>
          <t>SYS-01</t>
        </is>
      </c>
      <c r="J17" s="11" t="inlineStr">
        <is>
          <t>Owen Castillo (Security Engineer)</t>
        </is>
      </c>
      <c r="K17" s="11" t="inlineStr">
        <is>
          <t>REQ-019</t>
        </is>
      </c>
      <c r="L17" s="11" t="inlineStr">
        <is>
          <t>Implemented</t>
        </is>
      </c>
      <c r="M17" s="11" t="inlineStr">
        <is>
          <t>Implemented</t>
        </is>
      </c>
      <c r="N17" s="11">
        <f>IF(L17&lt;&gt;M17,"Yes","No")</f>
        <v/>
      </c>
      <c r="O17" s="12" t="inlineStr">
        <is>
          <t>CloudTrail and audit logs are delivered to a dedicated log-archive account. The S3 bucket uses Object Lock in compliance mode, a bucket policy denying deletes, and an SCP blocking StopLogging and DeleteTrail for all non-break-glass principals. The SIEM admin role is limited to 1 person, plus MDR read access.</t>
        </is>
      </c>
      <c r="P17" s="12" t="inlineStr">
        <is>
          <t>Log bucket configuration; SCPs; access list for the log account</t>
        </is>
      </c>
      <c r="Q17" s="11" t="inlineStr">
        <is>
          <t>EVID-023</t>
        </is>
      </c>
      <c r="R17" s="12" t="inlineStr">
        <is>
          <t>GRC-Vault:/WCP-2026/AU/EVID-023_log-archive-protections.json</t>
        </is>
      </c>
      <c r="S17" s="11" t="inlineStr">
        <is>
          <t>Implementation</t>
        </is>
      </c>
      <c r="T17" s="11" t="inlineStr">
        <is>
          <t>Examine, Test</t>
        </is>
      </c>
      <c r="U17" s="12" t="inlineStr">
        <is>
          <t>Examined Object Lock and the SCPs. Using the assessor's read-only role, confirmed an attempt to call cloudtrail:StopLogging returns AccessDenied (explicit SCP deny). Expected: logs are immutable to operational admins. Actual: met.</t>
        </is>
      </c>
      <c r="V17" s="11" t="inlineStr">
        <is>
          <t>Satisfied</t>
        </is>
      </c>
      <c r="W17" s="12" t="inlineStr"/>
      <c r="X17" s="11" t="inlineStr"/>
      <c r="Y17" s="11" t="inlineStr"/>
      <c r="Z17" s="11" t="inlineStr"/>
      <c r="AA17" s="11" t="inlineStr"/>
      <c r="AB17" s="11" t="inlineStr">
        <is>
          <t>n/a</t>
        </is>
      </c>
      <c r="AC17" s="11" t="inlineStr"/>
      <c r="AD17" s="13" t="n">
        <v>46220</v>
      </c>
      <c r="AE17" s="13" t="n">
        <v>46583</v>
      </c>
      <c r="AF17" s="11" t="inlineStr">
        <is>
          <t>DE</t>
        </is>
      </c>
      <c r="AG17" s="12" t="inlineStr"/>
    </row>
    <row r="18">
      <c r="A18" s="11" t="inlineStr">
        <is>
          <t>AU-11</t>
        </is>
      </c>
      <c r="B18" s="11" t="inlineStr">
        <is>
          <t>AU - Audit and Accountability</t>
        </is>
      </c>
      <c r="C18" s="12" t="inlineStr">
        <is>
          <t>Audit Record Retention</t>
        </is>
      </c>
      <c r="D18" s="11" t="inlineStr">
        <is>
          <t>Moderate</t>
        </is>
      </c>
      <c r="E18" s="12" t="inlineStr">
        <is>
          <t>Retain audit records for a defined period consistent with records-retention policy to support after-the-fact investigations and meet regulatory and organizational retention requirements.</t>
        </is>
      </c>
      <c r="F18" s="11" t="inlineStr">
        <is>
          <t>Applicable</t>
        </is>
      </c>
      <c r="G18" s="12" t="inlineStr"/>
      <c r="H18" s="11" t="inlineStr">
        <is>
          <t>System-specific</t>
        </is>
      </c>
      <c r="I18" s="11" t="inlineStr">
        <is>
          <t>SYS-01, SYS-08</t>
        </is>
      </c>
      <c r="J18" s="11" t="inlineStr">
        <is>
          <t>Owen Castillo (Security Engineer)</t>
        </is>
      </c>
      <c r="K18" s="11" t="inlineStr">
        <is>
          <t>REQ-005; REQ-019</t>
        </is>
      </c>
      <c r="L18" s="11" t="inlineStr">
        <is>
          <t>Implemented</t>
        </is>
      </c>
      <c r="M18" s="11" t="inlineStr">
        <is>
          <t>Partially Implemented</t>
        </is>
      </c>
      <c r="N18" s="11">
        <f>IF(L18&lt;&gt;M18,"Yes","No")</f>
        <v/>
      </c>
      <c r="O18" s="12" t="inlineStr">
        <is>
          <t>At assessment: SIEM hot retention 90 days; the log-archive S3 lifecycle expired CloudTrail at 180 days; CloudWatch application-audit (PHI access) logs were kept 90 days with no archive. The CSA requires 12 months (90 days searchable).</t>
        </is>
      </c>
      <c r="P18" s="12" t="inlineStr">
        <is>
          <t>Retention settings for every audit source, and confirmation that the oldest available records match the setting</t>
        </is>
      </c>
      <c r="Q18" s="11" t="inlineStr">
        <is>
          <t>EVID-024; EVID-067</t>
        </is>
      </c>
      <c r="R18" s="12" t="inlineStr">
        <is>
          <t>evidence/AU/EVID-024_log-retention-config_2026-06-30.json; evidence/AU/EVID-067_log-retention-config_2026-09-12.json</t>
        </is>
      </c>
      <c r="S18" s="11" t="inlineStr">
        <is>
          <t>Implementation</t>
        </is>
      </c>
      <c r="T18" s="11" t="inlineStr">
        <is>
          <t>Examine, Test</t>
        </is>
      </c>
      <c r="U18" s="12" t="inlineStr">
        <is>
          <t>Examined the retention configuration for 5 sources and queried the oldest available record in each. Expected: 12 months or more for all. Actual: CloudTrail 180 days, app audit 90 days, SIEM 90 days (the oldest records matched the settings, so there was no hidden longer retention). Validation (2026-09-12): lifecycle changed to a 400-day expiry, app audit is archived to log-archive, and objects dated 2026-03-20 (182 days old) are still present, confirming the old rule no longer applies.</t>
        </is>
      </c>
      <c r="V18" s="11" t="inlineStr">
        <is>
          <t>Other Than Satisfied</t>
        </is>
      </c>
      <c r="W18" s="12" t="inlineStr">
        <is>
          <t>Retention below the contractual 12 months.</t>
        </is>
      </c>
      <c r="X18" s="11" t="inlineStr">
        <is>
          <t>Moderate</t>
        </is>
      </c>
      <c r="Y18" s="11" t="inlineStr">
        <is>
          <t>RISK-005</t>
        </is>
      </c>
      <c r="Z18" s="11" t="inlineStr">
        <is>
          <t>FIND-008</t>
        </is>
      </c>
      <c r="AA18" s="11" t="inlineStr">
        <is>
          <t>POAM-008</t>
        </is>
      </c>
      <c r="AB18" s="11" t="inlineStr">
        <is>
          <t>POAM-008: Closed</t>
        </is>
      </c>
      <c r="AC18" s="11" t="inlineStr"/>
      <c r="AD18" s="13" t="n">
        <v>46277</v>
      </c>
      <c r="AE18" s="13" t="n">
        <v>46583</v>
      </c>
      <c r="AF18" s="11" t="inlineStr">
        <is>
          <t>DE</t>
        </is>
      </c>
      <c r="AG18" s="12" t="inlineStr">
        <is>
          <t>Closure rests on configuration plus an early indicator. Full 12-month retention can only be demonstrated over time, so the FY27 assessment re-tests the oldest record date.</t>
        </is>
      </c>
    </row>
    <row r="19">
      <c r="A19" s="11" t="inlineStr">
        <is>
          <t>CA-2</t>
        </is>
      </c>
      <c r="B19" s="11" t="inlineStr">
        <is>
          <t>CA - Assessment, Authorization, and Monitoring</t>
        </is>
      </c>
      <c r="C19" s="12" t="inlineStr">
        <is>
          <t>Control Assessments</t>
        </is>
      </c>
      <c r="D19" s="11" t="inlineStr">
        <is>
          <t>Moderate</t>
        </is>
      </c>
      <c r="E19" s="12" t="inlineStr">
        <is>
          <t>Select an appropriate assessor or team; develop an assessment plan; assess controls at a defined frequency; produce an assessment report; provide results to defined individuals or roles.</t>
        </is>
      </c>
      <c r="F19" s="11" t="inlineStr">
        <is>
          <t>Applicable</t>
        </is>
      </c>
      <c r="G19" s="12" t="inlineStr"/>
      <c r="H19" s="11" t="inlineStr">
        <is>
          <t>Common (organization-wide)</t>
        </is>
      </c>
      <c r="I19" s="11" t="inlineStr">
        <is>
          <t>WCP-PROD</t>
        </is>
      </c>
      <c r="J19" s="11" t="inlineStr">
        <is>
          <t>Priya Raman (Security Compliance Manager)</t>
        </is>
      </c>
      <c r="K19" s="11" t="inlineStr">
        <is>
          <t>REQ-002; REQ-012</t>
        </is>
      </c>
      <c r="L19" s="11" t="inlineStr">
        <is>
          <t>Implemented</t>
        </is>
      </c>
      <c r="M19" s="11" t="inlineStr">
        <is>
          <t>Implemented</t>
        </is>
      </c>
      <c r="N19" s="11">
        <f>IF(L19&lt;&gt;M19,"Yes","No")</f>
        <v/>
      </c>
      <c r="O19" s="12" t="inlineStr">
        <is>
          <t>Annual SOC 2 Type II examination by an independent CPA firm, an annual external penetration test (Lanternworks Security, fictional), and this SP 800-53 assessment (SAP ASMT-SAP-001). Results are reported to the CISO, CTO, and Audit &amp; Risk Committee.</t>
        </is>
      </c>
      <c r="P19" s="12" t="inlineStr">
        <is>
          <t>Assessment plan; prior assessment reports; distribution evidence</t>
        </is>
      </c>
      <c r="Q19" s="11" t="inlineStr">
        <is>
          <t>EVID-025</t>
        </is>
      </c>
      <c r="R19" s="12" t="inlineStr">
        <is>
          <t>GRC-Vault:/WCP-2026/CA/EVID-025_soc2-and-pentest.pdf</t>
        </is>
      </c>
      <c r="S19" s="11" t="inlineStr">
        <is>
          <t>Operating Effectiveness</t>
        </is>
      </c>
      <c r="T19" s="11" t="inlineStr">
        <is>
          <t>Examine, Interview</t>
        </is>
      </c>
      <c r="U19" s="12" t="inlineStr">
        <is>
          <t>Examined the SOC 2 report (unqualified; 1 exception noted in change management), the 2025 pentest summary (2 High findings, retest closed), and this engagement's SAP. Expected: independent assessments at a defined frequency with results reported. Actual: met. Note: SOC 2 does not test 800-53-specific requirements, which is why this engagement exists.</t>
        </is>
      </c>
      <c r="V19" s="11" t="inlineStr">
        <is>
          <t>Satisfied</t>
        </is>
      </c>
      <c r="W19" s="12" t="inlineStr"/>
      <c r="X19" s="11" t="inlineStr"/>
      <c r="Y19" s="11" t="inlineStr"/>
      <c r="Z19" s="11" t="inlineStr"/>
      <c r="AA19" s="11" t="inlineStr"/>
      <c r="AB19" s="11" t="inlineStr">
        <is>
          <t>n/a</t>
        </is>
      </c>
      <c r="AC19" s="11" t="inlineStr"/>
      <c r="AD19" s="13" t="n">
        <v>46220</v>
      </c>
      <c r="AE19" s="13" t="n">
        <v>46583</v>
      </c>
      <c r="AF19" s="11" t="inlineStr">
        <is>
          <t>GV</t>
        </is>
      </c>
      <c r="AG19" s="12" t="inlineStr"/>
    </row>
    <row r="20">
      <c r="A20" s="11" t="inlineStr">
        <is>
          <t>CA-3</t>
        </is>
      </c>
      <c r="B20" s="11" t="inlineStr">
        <is>
          <t>CA - Assessment, Authorization, and Monitoring</t>
        </is>
      </c>
      <c r="C20" s="12" t="inlineStr">
        <is>
          <t>Information Exchange</t>
        </is>
      </c>
      <c r="D20" s="11" t="inlineStr">
        <is>
          <t>Moderate</t>
        </is>
      </c>
      <c r="E20" s="12" t="inlineStr">
        <is>
          <t>Approve and manage information exchanges using defined agreement types; document interface characteristics, security and privacy requirements, controls, and responsibilities in the agreements; review and update them at a defined frequency.</t>
        </is>
      </c>
      <c r="F20" s="11" t="inlineStr">
        <is>
          <t>Applicable</t>
        </is>
      </c>
      <c r="G20" s="12" t="inlineStr"/>
      <c r="H20" s="11" t="inlineStr">
        <is>
          <t>System-specific</t>
        </is>
      </c>
      <c r="I20" s="11" t="inlineStr">
        <is>
          <t>SYS-01, SYS-05</t>
        </is>
      </c>
      <c r="J20" s="11" t="inlineStr">
        <is>
          <t>Liam Porter (Data Engineering Manager)</t>
        </is>
      </c>
      <c r="K20" s="11" t="inlineStr">
        <is>
          <t>REQ-018; REQ-021</t>
        </is>
      </c>
      <c r="L20" s="11" t="inlineStr">
        <is>
          <t>Implemented</t>
        </is>
      </c>
      <c r="M20" s="11" t="inlineStr">
        <is>
          <t>Implemented</t>
        </is>
      </c>
      <c r="N20" s="11">
        <f>IF(L20&lt;&gt;M20,"Yes","No")</f>
        <v/>
      </c>
      <c r="O20" s="12" t="inlineStr">
        <is>
          <t>Each interconnection has an agreement (BAA plus interface or data-sharing specification). The Quarrystone Data Sharing Specification v2 documents the fields, transfer method, schedule, encryption, and contacts. Customer EHR interfaces use per-customer interface specs.</t>
        </is>
      </c>
      <c r="P20" s="12" t="inlineStr">
        <is>
          <t>Interconnection inventory and agreement for each exchange</t>
        </is>
      </c>
      <c r="Q20" s="11" t="inlineStr">
        <is>
          <t>EVID-026</t>
        </is>
      </c>
      <c r="R20" s="12" t="inlineStr">
        <is>
          <t>GRC-Vault:/WCP-2026/CA/EVID-026_interconnection-agreements.zip</t>
        </is>
      </c>
      <c r="S20" s="11" t="inlineStr">
        <is>
          <t>Design</t>
        </is>
      </c>
      <c r="T20" s="11" t="inlineStr">
        <is>
          <t>Examine</t>
        </is>
      </c>
      <c r="U20" s="12" t="inlineStr">
        <is>
          <t>Examined agreements for Quarrystone and 3 sampled customer EHR interfaces. Expected: signed agreement with security requirements and responsibilities for each exchange. Actual: all 4 present and signed. The Quarrystone spec's contents (excess fields, no US-only clause) are covered as vendor-risk issues under SA-9 (FIND-016), not as a missing agreement.</t>
        </is>
      </c>
      <c r="V20" s="11" t="inlineStr">
        <is>
          <t>Satisfied</t>
        </is>
      </c>
      <c r="W20" s="12" t="inlineStr"/>
      <c r="X20" s="11" t="inlineStr"/>
      <c r="Y20" s="11" t="inlineStr"/>
      <c r="Z20" s="11" t="inlineStr"/>
      <c r="AA20" s="11" t="inlineStr"/>
      <c r="AB20" s="11" t="inlineStr">
        <is>
          <t>n/a</t>
        </is>
      </c>
      <c r="AC20" s="11" t="inlineStr"/>
      <c r="AD20" s="13" t="n">
        <v>46220</v>
      </c>
      <c r="AE20" s="13" t="n">
        <v>46583</v>
      </c>
      <c r="AF20" s="11" t="inlineStr">
        <is>
          <t>GV</t>
        </is>
      </c>
      <c r="AG20" s="12" t="inlineStr">
        <is>
          <t>The determination separates having an exchange agreement (CA-3, met) from the adequacy of the vendor's terms (SA-9, not met).</t>
        </is>
      </c>
    </row>
    <row r="21">
      <c r="A21" s="11" t="inlineStr">
        <is>
          <t>CA-5</t>
        </is>
      </c>
      <c r="B21" s="11" t="inlineStr">
        <is>
          <t>CA - Assessment, Authorization, and Monitoring</t>
        </is>
      </c>
      <c r="C21" s="12" t="inlineStr">
        <is>
          <t>Plan of Action and Milestones</t>
        </is>
      </c>
      <c r="D21" s="11" t="inlineStr">
        <is>
          <t>Moderate</t>
        </is>
      </c>
      <c r="E21" s="12" t="inlineStr">
        <is>
          <t>Develop a plan of action and milestones documenting planned remediation of weaknesses found during control assessments; update it at a defined frequency based on assessment and monitoring results.</t>
        </is>
      </c>
      <c r="F21" s="11" t="inlineStr">
        <is>
          <t>Applicable</t>
        </is>
      </c>
      <c r="G21" s="12" t="inlineStr"/>
      <c r="H21" s="11" t="inlineStr">
        <is>
          <t>Common (organization-wide)</t>
        </is>
      </c>
      <c r="I21" s="11" t="inlineStr">
        <is>
          <t>WCP-PROD</t>
        </is>
      </c>
      <c r="J21" s="11" t="inlineStr">
        <is>
          <t>Priya Raman (Security Compliance Manager)</t>
        </is>
      </c>
      <c r="K21" s="11" t="inlineStr">
        <is>
          <t>REQ-002</t>
        </is>
      </c>
      <c r="L21" s="11" t="inlineStr">
        <is>
          <t>Implemented</t>
        </is>
      </c>
      <c r="M21" s="11" t="inlineStr">
        <is>
          <t>Implemented</t>
        </is>
      </c>
      <c r="N21" s="11">
        <f>IF(L21&lt;&gt;M21,"Yes","No")</f>
        <v/>
      </c>
      <c r="O21" s="12" t="inlineStr">
        <is>
          <t>Before 2026-08, weaknesses were tracked in a Jira "SECISSUE" project with owners and due dates (SOC 2 remediation). Since 2026-08-07, the formal POA&amp;M (poam/poam.xlsx) has been baselined, has milestones and SLAs, is reviewed biweekly, and is reported monthly to the CISO.</t>
        </is>
      </c>
      <c r="P21" s="12" t="inlineStr">
        <is>
          <t>POA&amp;M; update history; evidence that items come from assessments and monitoring</t>
        </is>
      </c>
      <c r="Q21" s="11" t="inlineStr">
        <is>
          <t>EVID-027</t>
        </is>
      </c>
      <c r="R21" s="12" t="inlineStr">
        <is>
          <t>GRC-Vault:/WCP-2026/CA/EVID-027_secissue-export.csv</t>
        </is>
      </c>
      <c r="S21" s="11" t="inlineStr">
        <is>
          <t>Implementation</t>
        </is>
      </c>
      <c r="T21" s="11" t="inlineStr">
        <is>
          <t>Examine</t>
        </is>
      </c>
      <c r="U21" s="12" t="inlineStr">
        <is>
          <t>Examined the prior Jira tracking (37 items, 100% with owner and due date; 4 overdue) and the new POA&amp;M. Expected: all assessment weaknesses tracked with milestones. Actual: met. All 19 findings are in the POA&amp;M, including the risk-accepted item.</t>
        </is>
      </c>
      <c r="V21" s="11" t="inlineStr">
        <is>
          <t>Satisfied</t>
        </is>
      </c>
      <c r="W21" s="12" t="inlineStr"/>
      <c r="X21" s="11" t="inlineStr"/>
      <c r="Y21" s="11" t="inlineStr"/>
      <c r="Z21" s="11" t="inlineStr"/>
      <c r="AA21" s="11" t="inlineStr"/>
      <c r="AB21" s="11" t="inlineStr">
        <is>
          <t>n/a</t>
        </is>
      </c>
      <c r="AC21" s="11" t="inlineStr"/>
      <c r="AD21" s="13" t="n">
        <v>46220</v>
      </c>
      <c r="AE21" s="13" t="n">
        <v>46583</v>
      </c>
      <c r="AF21" s="11" t="inlineStr">
        <is>
          <t>GV</t>
        </is>
      </c>
      <c r="AG21" s="12" t="inlineStr"/>
    </row>
    <row r="22">
      <c r="A22" s="11" t="inlineStr">
        <is>
          <t>CA-7</t>
        </is>
      </c>
      <c r="B22" s="11" t="inlineStr">
        <is>
          <t>CA - Assessment, Authorization, and Monitoring</t>
        </is>
      </c>
      <c r="C22" s="12" t="inlineStr">
        <is>
          <t>Continuous Monitoring</t>
        </is>
      </c>
      <c r="D22" s="11" t="inlineStr">
        <is>
          <t>Moderate</t>
        </is>
      </c>
      <c r="E22" s="12" t="inlineStr">
        <is>
          <t>Develop a system-level continuous monitoring strategy and implement monitoring with defined metrics, frequencies, ongoing assessments, correlation and analysis, response actions, and status reporting.</t>
        </is>
      </c>
      <c r="F22" s="11" t="inlineStr">
        <is>
          <t>Applicable</t>
        </is>
      </c>
      <c r="G22" s="12" t="inlineStr"/>
      <c r="H22" s="11" t="inlineStr">
        <is>
          <t>Common (organization-wide)</t>
        </is>
      </c>
      <c r="I22" s="11" t="inlineStr">
        <is>
          <t>WCP-PROD</t>
        </is>
      </c>
      <c r="J22" s="11" t="inlineStr">
        <is>
          <t>Alicia Moreno (CISO)</t>
        </is>
      </c>
      <c r="K22" s="11" t="inlineStr">
        <is>
          <t>REQ-002; REQ-012</t>
        </is>
      </c>
      <c r="L22" s="11" t="inlineStr">
        <is>
          <t>Implemented</t>
        </is>
      </c>
      <c r="M22" s="11" t="inlineStr">
        <is>
          <t>Implemented</t>
        </is>
      </c>
      <c r="N22" s="11">
        <f>IF(L22&lt;&gt;M22,"Yes","No")</f>
        <v/>
      </c>
      <c r="O22" s="12" t="inlineStr">
        <is>
          <t>Operational monitoring is in place (Security Hub CIS checks, weekly vulnerability scans, GuardDuty and MDR, a monthly security metrics deck to the CTO). There is no formal written ISCM strategy document, and metrics were not tied to control objectives until the dashboard built in this engagement.</t>
        </is>
      </c>
      <c r="P22" s="12" t="inlineStr">
        <is>
          <t>ISCM strategy; monitoring outputs; reporting to management</t>
        </is>
      </c>
      <c r="Q22" s="11" t="inlineStr">
        <is>
          <t>EVID-028; EVID-058</t>
        </is>
      </c>
      <c r="R22" s="12" t="inlineStr">
        <is>
          <t>GRC-Vault:/WCP-2026/CM/EVID-028_securityhub.csv; GRC-Vault:/WCP-2026/SI/EVID-058_monitoring.zip</t>
        </is>
      </c>
      <c r="S22" s="11" t="inlineStr">
        <is>
          <t>Operating Effectiveness</t>
        </is>
      </c>
      <c r="T22" s="11" t="inlineStr">
        <is>
          <t>Examine, Interview</t>
        </is>
      </c>
      <c r="U22" s="12" t="inlineStr">
        <is>
          <t>Examined 6 monthly metric decks and the Security Hub history. Expected: defined metrics reported at a defined frequency with response actions. Actual: monitoring and reporting operate. The CSPM alert on wf-sftp-01 went untriaged for 43 days, and that failure is recorded under SC-7/FIND-012. The strategy document gap is recorded as OBS-05.</t>
        </is>
      </c>
      <c r="V22" s="11" t="inlineStr">
        <is>
          <t>Satisfied</t>
        </is>
      </c>
      <c r="W22" s="12" t="inlineStr">
        <is>
          <t>No written ISCM strategy (observation).</t>
        </is>
      </c>
      <c r="X22" s="11" t="inlineStr">
        <is>
          <t>Low</t>
        </is>
      </c>
      <c r="Y22" s="11" t="inlineStr">
        <is>
          <t>RISK-016</t>
        </is>
      </c>
      <c r="Z22" s="11" t="inlineStr"/>
      <c r="AA22" s="11" t="inlineStr"/>
      <c r="AB22" s="11" t="inlineStr">
        <is>
          <t>n/a</t>
        </is>
      </c>
      <c r="AC22" s="11" t="inlineStr">
        <is>
          <t>OBS-05</t>
        </is>
      </c>
      <c r="AD22" s="13" t="n">
        <v>46220</v>
      </c>
      <c r="AE22" s="13" t="n">
        <v>46583</v>
      </c>
      <c r="AF22" s="11" t="inlineStr">
        <is>
          <t>GV</t>
        </is>
      </c>
      <c r="AG22" s="12" t="inlineStr"/>
    </row>
    <row r="23">
      <c r="A23" s="11" t="inlineStr">
        <is>
          <t>CM-2</t>
        </is>
      </c>
      <c r="B23" s="11" t="inlineStr">
        <is>
          <t>CM - Configuration Management</t>
        </is>
      </c>
      <c r="C23" s="12" t="inlineStr">
        <is>
          <t>Baseline Configuration</t>
        </is>
      </c>
      <c r="D23" s="11" t="inlineStr">
        <is>
          <t>Moderate</t>
        </is>
      </c>
      <c r="E23" s="12" t="inlineStr">
        <is>
          <t>Develop, document, and maintain a current baseline configuration under configuration control; review and update it at a defined frequency and when components are installed or upgraded.</t>
        </is>
      </c>
      <c r="F23" s="11" t="inlineStr">
        <is>
          <t>Applicable</t>
        </is>
      </c>
      <c r="G23" s="12" t="inlineStr"/>
      <c r="H23" s="11" t="inlineStr">
        <is>
          <t>System-specific</t>
        </is>
      </c>
      <c r="I23" s="11" t="inlineStr">
        <is>
          <t>SYS-01</t>
        </is>
      </c>
      <c r="J23" s="11" t="inlineStr">
        <is>
          <t>Tomasz Wierzbicki (Director, Platform Engineering)</t>
        </is>
      </c>
      <c r="K23" s="11" t="inlineStr">
        <is>
          <t>REQ-001; REQ-023</t>
        </is>
      </c>
      <c r="L23" s="11" t="inlineStr">
        <is>
          <t>Implemented</t>
        </is>
      </c>
      <c r="M23" s="11" t="inlineStr">
        <is>
          <t>Implemented</t>
        </is>
      </c>
      <c r="N23" s="11">
        <f>IF(L23&lt;&gt;M23,"Yes","No")</f>
        <v/>
      </c>
      <c r="O23" s="12" t="inlineStr">
        <is>
          <t>Infrastructure is defined in Terraform (baseline repo, PR-reviewed). EKS nodes use a hardened AMI (CIS Level 1) rebuilt monthly. Container base images are pinned and rebuilt weekly. The legacy hosts (wf-sftp-01, legacy-reports) have no managed baseline, which is recorded under SA-22.</t>
        </is>
      </c>
      <c r="P23" s="12" t="inlineStr">
        <is>
          <t>IaC baseline; AMI build specification; drift reports</t>
        </is>
      </c>
      <c r="Q23" s="11" t="inlineStr">
        <is>
          <t>EVID-029</t>
        </is>
      </c>
      <c r="R23" s="12" t="inlineStr">
        <is>
          <t>GRC-Vault:/WCP-2026/CM/EVID-029_baseline.zip</t>
        </is>
      </c>
      <c r="S23" s="11" t="inlineStr">
        <is>
          <t>Implementation</t>
        </is>
      </c>
      <c r="T23" s="11" t="inlineStr">
        <is>
          <t>Examine, Test</t>
        </is>
      </c>
      <c r="U23" s="12" t="inlineStr">
        <is>
          <t>Examined the Terraform baseline and the AMI pipeline. Ran a drift check on 3 sampled modules (VPC, EKS, RDS). Expected: live config matches IaC. Actual: no drift in the sampled modules. The legacy hosts are outside IaC and are covered under SA-22.</t>
        </is>
      </c>
      <c r="V23" s="11" t="inlineStr">
        <is>
          <t>Satisfied</t>
        </is>
      </c>
      <c r="W23" s="12" t="inlineStr"/>
      <c r="X23" s="11" t="inlineStr"/>
      <c r="Y23" s="11" t="inlineStr"/>
      <c r="Z23" s="11" t="inlineStr"/>
      <c r="AA23" s="11" t="inlineStr"/>
      <c r="AB23" s="11" t="inlineStr">
        <is>
          <t>n/a</t>
        </is>
      </c>
      <c r="AC23" s="11" t="inlineStr"/>
      <c r="AD23" s="13" t="n">
        <v>46220</v>
      </c>
      <c r="AE23" s="13" t="n">
        <v>46583</v>
      </c>
      <c r="AF23" s="11" t="inlineStr">
        <is>
          <t>PR</t>
        </is>
      </c>
      <c r="AG23" s="12" t="inlineStr"/>
    </row>
    <row r="24">
      <c r="A24" s="11" t="inlineStr">
        <is>
          <t>CM-3</t>
        </is>
      </c>
      <c r="B24" s="11" t="inlineStr">
        <is>
          <t>CM - Configuration Management</t>
        </is>
      </c>
      <c r="C24" s="12" t="inlineStr">
        <is>
          <t>Configuration Change Control</t>
        </is>
      </c>
      <c r="D24" s="11" t="inlineStr">
        <is>
          <t>Moderate</t>
        </is>
      </c>
      <c r="E24" s="12" t="inlineStr">
        <is>
          <t>Determine and document types of changes that are configuration-controlled; review, approve or disapprove, document, and implement changes; retain records; monitor and review activities.</t>
        </is>
      </c>
      <c r="F24" s="11" t="inlineStr">
        <is>
          <t>Applicable</t>
        </is>
      </c>
      <c r="G24" s="12" t="inlineStr"/>
      <c r="H24" s="11" t="inlineStr">
        <is>
          <t>System-specific</t>
        </is>
      </c>
      <c r="I24" s="11" t="inlineStr">
        <is>
          <t>SYS-01, SYS-03, SYS-05</t>
        </is>
      </c>
      <c r="J24" s="11" t="inlineStr">
        <is>
          <t>Tomasz Wierzbicki (Director, Platform Engineering)</t>
        </is>
      </c>
      <c r="K24" s="11" t="inlineStr">
        <is>
          <t>REQ-023</t>
        </is>
      </c>
      <c r="L24" s="11" t="inlineStr">
        <is>
          <t>Implemented</t>
        </is>
      </c>
      <c r="M24" s="11" t="inlineStr">
        <is>
          <t>Partially Implemented</t>
        </is>
      </c>
      <c r="N24" s="11">
        <f>IF(L24&lt;&gt;M24,"Yes","No")</f>
        <v/>
      </c>
      <c r="O24" s="12" t="inlineStr">
        <is>
          <t>Code and IaC changes go through GitHub PRs with required reviews and CI, then deploy through a protected environment with approvers. The change management procedure CMP-006 requires emergency changes to be retro-approved within 2 business days. Console changes have no preventive gate.</t>
        </is>
      </c>
      <c r="P24" s="12" t="inlineStr">
        <is>
          <t>Change population for the period; sample tickets with approvals, reviews, tests, and deployment timestamps</t>
        </is>
      </c>
      <c r="Q24" s="11" t="inlineStr">
        <is>
          <t>EVID-030</t>
        </is>
      </c>
      <c r="R24" s="12" t="inlineStr">
        <is>
          <t>evidence/CM/EVID-030_change-sample-2026H1.csv</t>
        </is>
      </c>
      <c r="S24" s="11" t="inlineStr">
        <is>
          <t>Operating Effectiveness</t>
        </is>
      </c>
      <c r="T24" s="11" t="inlineStr">
        <is>
          <t>Examine, Test</t>
        </is>
      </c>
      <c r="U24" s="12" t="inlineStr">
        <is>
          <t>Random sample of 25 of 212 changes (test-results/cm3-change-sample.md). Expected: 25 of 25 approved before deployment, or retro-approved within 2 business days for emergencies. Actual: 3 exceptions. CHG-2026-0412 (emergency RDP change, never approved or reverted), CHG-2026-0288 (retro approval after 9 days), and CHG-2026-0356 (deployed 5h38m before approval).</t>
        </is>
      </c>
      <c r="V24" s="11" t="inlineStr">
        <is>
          <t>Other Than Satisfied</t>
        </is>
      </c>
      <c r="W24" s="12" t="inlineStr">
        <is>
          <t>The emergency and console change paths bypass approval.</t>
        </is>
      </c>
      <c r="X24" s="11" t="inlineStr">
        <is>
          <t>Moderate</t>
        </is>
      </c>
      <c r="Y24" s="11" t="inlineStr">
        <is>
          <t>RISK-014</t>
        </is>
      </c>
      <c r="Z24" s="11" t="inlineStr">
        <is>
          <t>FIND-018</t>
        </is>
      </c>
      <c r="AA24" s="11" t="inlineStr">
        <is>
          <t>POAM-018</t>
        </is>
      </c>
      <c r="AB24" s="11" t="inlineStr">
        <is>
          <t>POAM-018: In Progress</t>
        </is>
      </c>
      <c r="AC24" s="11" t="inlineStr"/>
      <c r="AD24" s="13" t="n">
        <v>46220</v>
      </c>
      <c r="AE24" s="13" t="n">
        <v>46387</v>
      </c>
      <c r="AF24" s="11" t="inlineStr">
        <is>
          <t>PR</t>
        </is>
      </c>
      <c r="AG24" s="12" t="inlineStr"/>
    </row>
    <row r="25">
      <c r="A25" s="11" t="inlineStr">
        <is>
          <t>CM-6</t>
        </is>
      </c>
      <c r="B25" s="11" t="inlineStr">
        <is>
          <t>CM - Configuration Management</t>
        </is>
      </c>
      <c r="C25" s="12" t="inlineStr">
        <is>
          <t>Configuration Settings</t>
        </is>
      </c>
      <c r="D25" s="11" t="inlineStr">
        <is>
          <t>Moderate</t>
        </is>
      </c>
      <c r="E25" s="12" t="inlineStr">
        <is>
          <t>Establish and document configuration settings using common secure configurations; implement them; identify, document, and approve deviations; monitor and control changes to settings.</t>
        </is>
      </c>
      <c r="F25" s="11" t="inlineStr">
        <is>
          <t>Applicable</t>
        </is>
      </c>
      <c r="G25" s="12" t="inlineStr"/>
      <c r="H25" s="11" t="inlineStr">
        <is>
          <t>System-specific</t>
        </is>
      </c>
      <c r="I25" s="11" t="inlineStr">
        <is>
          <t>SYS-01, SYS-05</t>
        </is>
      </c>
      <c r="J25" s="11" t="inlineStr">
        <is>
          <t>Tomasz Wierzbicki (Director, Platform Engineering)</t>
        </is>
      </c>
      <c r="K25" s="11" t="inlineStr">
        <is>
          <t>REQ-001</t>
        </is>
      </c>
      <c r="L25" s="11" t="inlineStr">
        <is>
          <t>Implemented</t>
        </is>
      </c>
      <c r="M25" s="11" t="inlineStr">
        <is>
          <t>Partially Implemented</t>
        </is>
      </c>
      <c r="N25" s="11">
        <f>IF(L25&lt;&gt;M25,"Yes","No")</f>
        <v/>
      </c>
      <c r="O25" s="12" t="inlineStr">
        <is>
          <t>AWS Security Hub runs the CIS AWS Foundations benchmark across accounts (97% of controls passing at 2026-06-30). Deviations are supposed to be triaged within 7 days (High) by SRE. The SRE on-call runbook did not include Security Hub findings, so triage depended on ad-hoc review.</t>
        </is>
      </c>
      <c r="P25" s="12" t="inlineStr">
        <is>
          <t>Secure configuration baseline; CSPM results and history; deviation approvals</t>
        </is>
      </c>
      <c r="Q25" s="11" t="inlineStr">
        <is>
          <t>EVID-028; EVID-053; EVID-068</t>
        </is>
      </c>
      <c r="R25" s="12" t="inlineStr">
        <is>
          <t>GRC-Vault:/WCP-2026/CM/EVID-028_securityhub.csv; evidence/CM/EVID-053_wf-sftp-01-security-group_2026-07-02.json; GRC-Vault:/WCP-2026/SC/EVID-068_sg-fix.zip</t>
        </is>
      </c>
      <c r="S25" s="11" t="inlineStr">
        <is>
          <t>Operating Effectiveness</t>
        </is>
      </c>
      <c r="T25" s="11" t="inlineStr">
        <is>
          <t>Examine, Test</t>
        </is>
      </c>
      <c r="U25" s="12" t="inlineStr">
        <is>
          <t>Examined the Security Hub finding history. Expected: High deviations triaged within 7 days, or approved as exceptions. Actual: 3 High findings were open more than 30 days without triage, including 'Security group allows ingress from 0.0.0.0/0 to port 3389' on wf-sftp-01 (open 43 days). Remediated 2026-07-03; the security group and Security Hub re-evaluation were validated 2026-07-10 (EVID-068).</t>
        </is>
      </c>
      <c r="V25" s="11" t="inlineStr">
        <is>
          <t>Other Than Satisfied</t>
        </is>
      </c>
      <c r="W25" s="12" t="inlineStr">
        <is>
          <t>Deviation detection works; deviation response did not.</t>
        </is>
      </c>
      <c r="X25" s="11" t="inlineStr">
        <is>
          <t>High</t>
        </is>
      </c>
      <c r="Y25" s="11" t="inlineStr">
        <is>
          <t>RISK-012; RISK-007</t>
        </is>
      </c>
      <c r="Z25" s="11" t="inlineStr">
        <is>
          <t>FIND-012</t>
        </is>
      </c>
      <c r="AA25" s="11" t="inlineStr">
        <is>
          <t>POAM-012</t>
        </is>
      </c>
      <c r="AB25" s="11" t="inlineStr">
        <is>
          <t>POAM-012: Closed</t>
        </is>
      </c>
      <c r="AC25" s="11" t="inlineStr"/>
      <c r="AD25" s="13" t="n">
        <v>46213</v>
      </c>
      <c r="AE25" s="13" t="n">
        <v>46583</v>
      </c>
      <c r="AF25" s="11" t="inlineStr">
        <is>
          <t>PR</t>
        </is>
      </c>
      <c r="AG25" s="12" t="inlineStr"/>
    </row>
    <row r="26">
      <c r="A26" s="11" t="inlineStr">
        <is>
          <t>CM-8</t>
        </is>
      </c>
      <c r="B26" s="11" t="inlineStr">
        <is>
          <t>CM - Configuration Management</t>
        </is>
      </c>
      <c r="C26" s="12" t="inlineStr">
        <is>
          <t>System Component Inventory</t>
        </is>
      </c>
      <c r="D26" s="11" t="inlineStr">
        <is>
          <t>Moderate</t>
        </is>
      </c>
      <c r="E26" s="12" t="inlineStr">
        <is>
          <t>Develop and document an accurate inventory of system components at the granularity needed for tracking and reporting; review and update it at a defined frequency.</t>
        </is>
      </c>
      <c r="F26" s="11" t="inlineStr">
        <is>
          <t>Applicable</t>
        </is>
      </c>
      <c r="G26" s="12" t="inlineStr"/>
      <c r="H26" s="11" t="inlineStr">
        <is>
          <t>System-specific</t>
        </is>
      </c>
      <c r="I26" s="11" t="inlineStr">
        <is>
          <t>SYS-01, SYS-10</t>
        </is>
      </c>
      <c r="J26" s="11" t="inlineStr">
        <is>
          <t>Tomasz Wierzbicki (Director, Platform Engineering)</t>
        </is>
      </c>
      <c r="K26" s="11" t="inlineStr">
        <is>
          <t>REQ-001</t>
        </is>
      </c>
      <c r="L26" s="11" t="inlineStr">
        <is>
          <t>Implemented</t>
        </is>
      </c>
      <c r="M26" s="11" t="inlineStr">
        <is>
          <t>Implemented</t>
        </is>
      </c>
      <c r="N26" s="11">
        <f>IF(L26&lt;&gt;M26,"Yes","No")</f>
        <v/>
      </c>
      <c r="O26" s="12" t="inlineStr">
        <is>
          <t>AWS Config aggregator (all accounts) plus the MDM inventory for endpoints. A tag policy requires owner, environment, and data-classification tags.</t>
        </is>
      </c>
      <c r="P26" s="12" t="inlineStr">
        <is>
          <t>Inventory exports; tag compliance; reconciliation to billing and resource counts</t>
        </is>
      </c>
      <c r="Q26" s="11" t="inlineStr">
        <is>
          <t>EVID-031</t>
        </is>
      </c>
      <c r="R26" s="12" t="inlineStr">
        <is>
          <t>GRC-Vault:/WCP-2026/CM/EVID-031_inventory.zip</t>
        </is>
      </c>
      <c r="S26" s="11" t="inlineStr">
        <is>
          <t>Implementation</t>
        </is>
      </c>
      <c r="T26" s="11" t="inlineStr">
        <is>
          <t>Examine, Test</t>
        </is>
      </c>
      <c r="U26" s="12" t="inlineStr">
        <is>
          <t>Reconciled the AWS Config resource counts to Cost Explorer resource IDs for EC2, EKS, and RDS (100% present in inventory). Expected: complete inventory with ownership. Actual: inventory complete, but 7% of EC2/EKS resources lack an owner tag, which reduces scanner scoping accuracy (OBS-02).</t>
        </is>
      </c>
      <c r="V26" s="11" t="inlineStr">
        <is>
          <t>Satisfied</t>
        </is>
      </c>
      <c r="W26" s="12" t="inlineStr">
        <is>
          <t>Owner-tag compliance at 93% (observation).</t>
        </is>
      </c>
      <c r="X26" s="11" t="inlineStr">
        <is>
          <t>Low</t>
        </is>
      </c>
      <c r="Y26" s="11" t="inlineStr">
        <is>
          <t>RISK-006</t>
        </is>
      </c>
      <c r="Z26" s="11" t="inlineStr"/>
      <c r="AA26" s="11" t="inlineStr"/>
      <c r="AB26" s="11" t="inlineStr">
        <is>
          <t>n/a</t>
        </is>
      </c>
      <c r="AC26" s="11" t="inlineStr">
        <is>
          <t>OBS-02</t>
        </is>
      </c>
      <c r="AD26" s="13" t="n">
        <v>46220</v>
      </c>
      <c r="AE26" s="13" t="n">
        <v>46583</v>
      </c>
      <c r="AF26" s="11" t="inlineStr">
        <is>
          <t>ID</t>
        </is>
      </c>
      <c r="AG26" s="12" t="inlineStr"/>
    </row>
    <row r="27">
      <c r="A27" s="11" t="inlineStr">
        <is>
          <t>CP-2</t>
        </is>
      </c>
      <c r="B27" s="11" t="inlineStr">
        <is>
          <t>CP - Contingency Planning</t>
        </is>
      </c>
      <c r="C27" s="12" t="inlineStr">
        <is>
          <t>Contingency Plan</t>
        </is>
      </c>
      <c r="D27" s="11" t="inlineStr">
        <is>
          <t>Moderate</t>
        </is>
      </c>
      <c r="E27" s="12" t="inlineStr">
        <is>
          <t>Develop a contingency plan that identifies essential functions, recovery objectives, restoration priorities, roles, and contacts; distribute, review, update, and protect it.</t>
        </is>
      </c>
      <c r="F27" s="11" t="inlineStr">
        <is>
          <t>Applicable</t>
        </is>
      </c>
      <c r="G27" s="12" t="inlineStr"/>
      <c r="H27" s="11" t="inlineStr">
        <is>
          <t>System-specific</t>
        </is>
      </c>
      <c r="I27" s="11" t="inlineStr">
        <is>
          <t>SYS-01</t>
        </is>
      </c>
      <c r="J27" s="11" t="inlineStr">
        <is>
          <t>Tomasz Wierzbicki (Director, Platform Engineering)</t>
        </is>
      </c>
      <c r="K27" s="11" t="inlineStr">
        <is>
          <t>REQ-011; REQ-017</t>
        </is>
      </c>
      <c r="L27" s="11" t="inlineStr">
        <is>
          <t>Implemented</t>
        </is>
      </c>
      <c r="M27" s="11" t="inlineStr">
        <is>
          <t>Implemented</t>
        </is>
      </c>
      <c r="N27" s="11">
        <f>IF(L27&lt;&gt;M27,"Yes","No")</f>
        <v/>
      </c>
      <c r="O27" s="12" t="inlineStr">
        <is>
          <t>BC/DR Plan BCP-003 v2.1 (2025-11). RTO 4h and RPO 1h for WCP-PROD. Restoration priorities are the auth, care-plan, and RPM ingestion services. Covers clinical downtime procedures coordinated with customers.</t>
        </is>
      </c>
      <c r="P27" s="12" t="inlineStr">
        <is>
          <t>Approved current plan with defined RTO/RPO, roles, and distribution</t>
        </is>
      </c>
      <c r="Q27" s="11" t="inlineStr">
        <is>
          <t>EVID-032</t>
        </is>
      </c>
      <c r="R27" s="12" t="inlineStr">
        <is>
          <t>GRC-Vault:/WCP-2026/CP/EVID-032_BCP-003_v2.1.pdf</t>
        </is>
      </c>
      <c r="S27" s="11" t="inlineStr">
        <is>
          <t>Design</t>
        </is>
      </c>
      <c r="T27" s="11" t="inlineStr">
        <is>
          <t>Examine, Interview</t>
        </is>
      </c>
      <c r="U27" s="12" t="inlineStr">
        <is>
          <t>Examined BCP-003 v2.1 against CP-2 elements. Expected: current, approved, with objectives and roles. Actual: met. The plan is sound on paper; whether it works is tested under CP-4 and CP-9(1).</t>
        </is>
      </c>
      <c r="V27" s="11" t="inlineStr">
        <is>
          <t>Satisfied</t>
        </is>
      </c>
      <c r="W27" s="12" t="inlineStr"/>
      <c r="X27" s="11" t="inlineStr"/>
      <c r="Y27" s="11" t="inlineStr"/>
      <c r="Z27" s="11" t="inlineStr"/>
      <c r="AA27" s="11" t="inlineStr"/>
      <c r="AB27" s="11" t="inlineStr">
        <is>
          <t>n/a</t>
        </is>
      </c>
      <c r="AC27" s="11" t="inlineStr"/>
      <c r="AD27" s="13" t="n">
        <v>46220</v>
      </c>
      <c r="AE27" s="13" t="n">
        <v>46583</v>
      </c>
      <c r="AF27" s="11" t="inlineStr">
        <is>
          <t>RC</t>
        </is>
      </c>
      <c r="AG27" s="12" t="inlineStr"/>
    </row>
    <row r="28">
      <c r="A28" s="11" t="inlineStr">
        <is>
          <t>CP-4</t>
        </is>
      </c>
      <c r="B28" s="11" t="inlineStr">
        <is>
          <t>CP - Contingency Planning</t>
        </is>
      </c>
      <c r="C28" s="12" t="inlineStr">
        <is>
          <t>Contingency Plan Testing</t>
        </is>
      </c>
      <c r="D28" s="11" t="inlineStr">
        <is>
          <t>Moderate</t>
        </is>
      </c>
      <c r="E28" s="12" t="inlineStr">
        <is>
          <t>Test the contingency plan at a defined frequency using defined tests to determine effectiveness and readiness; review results and initiate corrective actions.</t>
        </is>
      </c>
      <c r="F28" s="11" t="inlineStr">
        <is>
          <t>Applicable</t>
        </is>
      </c>
      <c r="G28" s="12" t="inlineStr"/>
      <c r="H28" s="11" t="inlineStr">
        <is>
          <t>System-specific</t>
        </is>
      </c>
      <c r="I28" s="11" t="inlineStr">
        <is>
          <t>SYS-01</t>
        </is>
      </c>
      <c r="J28" s="11" t="inlineStr">
        <is>
          <t>Tomasz Wierzbicki (Director, Platform Engineering)</t>
        </is>
      </c>
      <c r="K28" s="11" t="inlineStr">
        <is>
          <t>REQ-011; REQ-017</t>
        </is>
      </c>
      <c r="L28" s="11" t="inlineStr">
        <is>
          <t>Implemented</t>
        </is>
      </c>
      <c r="M28" s="11" t="inlineStr">
        <is>
          <t>Not Implemented</t>
        </is>
      </c>
      <c r="N28" s="11">
        <f>IF(L28&lt;&gt;M28,"Yes","No")</f>
        <v/>
      </c>
      <c r="O28" s="12" t="inlineStr">
        <is>
          <t>The owner cited a 2024 AZ-failover exercise. BCP-003 requires an annual test (tabletop or functional). No plan-level test was performed in the 12 months before fieldwork.</t>
        </is>
      </c>
      <c r="P28" s="12" t="inlineStr">
        <is>
          <t>Test plan, test records, after-action report, and corrective actions within the last 12 months</t>
        </is>
      </c>
      <c r="Q28" s="11" t="inlineStr">
        <is>
          <t>EVID-033</t>
        </is>
      </c>
      <c r="R28" s="12" t="inlineStr">
        <is>
          <t>GRC-Vault:/WCP-2026/CP/EVID-033_az-failover-notes-2024.md</t>
        </is>
      </c>
      <c r="S28" s="11" t="inlineStr">
        <is>
          <t>Design</t>
        </is>
      </c>
      <c r="T28" s="11" t="inlineStr">
        <is>
          <t>Examine, Interview</t>
        </is>
      </c>
      <c r="U28" s="12" t="inlineStr">
        <is>
          <t>Requested all CP test records for the past 24 months. Expected: at least 1 plan-level test in the last 12 months. Actual: only 2024-04 engineering notes on an AZ failover (not a plan-level test, with no after-action report). Evidence was marked Insufficient. A combined ransomware tabletop (IR + CP) is scheduled for 2026-10-14.</t>
        </is>
      </c>
      <c r="V28" s="11" t="inlineStr">
        <is>
          <t>Other Than Satisfied</t>
        </is>
      </c>
      <c r="W28" s="12" t="inlineStr">
        <is>
          <t>Contingency plan not tested.</t>
        </is>
      </c>
      <c r="X28" s="11" t="inlineStr">
        <is>
          <t>Moderate</t>
        </is>
      </c>
      <c r="Y28" s="11" t="inlineStr">
        <is>
          <t>RISK-008</t>
        </is>
      </c>
      <c r="Z28" s="11" t="inlineStr">
        <is>
          <t>FIND-014</t>
        </is>
      </c>
      <c r="AA28" s="11" t="inlineStr">
        <is>
          <t>POAM-014</t>
        </is>
      </c>
      <c r="AB28" s="11" t="inlineStr">
        <is>
          <t>POAM-014: In Progress</t>
        </is>
      </c>
      <c r="AC28" s="11" t="inlineStr"/>
      <c r="AD28" s="13" t="n">
        <v>46220</v>
      </c>
      <c r="AE28" s="13" t="n">
        <v>46326</v>
      </c>
      <c r="AF28" s="11" t="inlineStr">
        <is>
          <t>RC</t>
        </is>
      </c>
      <c r="AG28" s="12" t="inlineStr"/>
    </row>
    <row r="29">
      <c r="A29" s="11" t="inlineStr">
        <is>
          <t>CP-9</t>
        </is>
      </c>
      <c r="B29" s="11" t="inlineStr">
        <is>
          <t>CP - Contingency Planning</t>
        </is>
      </c>
      <c r="C29" s="12" t="inlineStr">
        <is>
          <t>System Backup</t>
        </is>
      </c>
      <c r="D29" s="11" t="inlineStr">
        <is>
          <t>Moderate</t>
        </is>
      </c>
      <c r="E29" s="12" t="inlineStr">
        <is>
          <t>Conduct backups of user-level, system-level, and security-related information at a defined frequency consistent with recovery objectives; protect the confidentiality, integrity, and availability of backups.</t>
        </is>
      </c>
      <c r="F29" s="11" t="inlineStr">
        <is>
          <t>Applicable</t>
        </is>
      </c>
      <c r="G29" s="12" t="inlineStr"/>
      <c r="H29" s="11" t="inlineStr">
        <is>
          <t>System-specific</t>
        </is>
      </c>
      <c r="I29" s="11" t="inlineStr">
        <is>
          <t>SYS-01, SYS-04</t>
        </is>
      </c>
      <c r="J29" s="11" t="inlineStr">
        <is>
          <t>Tomasz Wierzbicki (Director, Platform Engineering)</t>
        </is>
      </c>
      <c r="K29" s="11" t="inlineStr">
        <is>
          <t>REQ-011; REQ-017</t>
        </is>
      </c>
      <c r="L29" s="11" t="inlineStr">
        <is>
          <t>Implemented</t>
        </is>
      </c>
      <c r="M29" s="11" t="inlineStr">
        <is>
          <t>Implemented</t>
        </is>
      </c>
      <c r="N29" s="11">
        <f>IF(L29&lt;&gt;M29,"Yes","No")</f>
        <v/>
      </c>
      <c r="O29" s="12" t="inlineStr">
        <is>
          <t>Aurora continuous backup (PITR, 35 days), plus daily AWS Backup copies to the wcp-dr account in us-west-2 in a vault with Vault Lock (compliance mode) and KMS encryption. S3 versioning plus cross-region replication for documents.</t>
        </is>
      </c>
      <c r="P29" s="12" t="inlineStr">
        <is>
          <t>Backup plans; job history; vault protection settings; cross-region copies</t>
        </is>
      </c>
      <c r="Q29" s="11" t="inlineStr">
        <is>
          <t>EVID-034</t>
        </is>
      </c>
      <c r="R29" s="12" t="inlineStr">
        <is>
          <t>GRC-Vault:/WCP-2026/CP/EVID-034_backup-config.zip</t>
        </is>
      </c>
      <c r="S29" s="11" t="inlineStr">
        <is>
          <t>Operating Effectiveness</t>
        </is>
      </c>
      <c r="T29" s="11" t="inlineStr">
        <is>
          <t>Examine, Test</t>
        </is>
      </c>
      <c r="U29" s="12" t="inlineStr">
        <is>
          <t>Examined the backup plans and 30 days of job history (30 of 30 successful), and confirmed Vault Lock plus cross-account copy. Expected: backups taken per RPO and protected from deletion. Actual: met. Whether backups can actually be restored is tested separately under CP-9(1).</t>
        </is>
      </c>
      <c r="V29" s="11" t="inlineStr">
        <is>
          <t>Satisfied</t>
        </is>
      </c>
      <c r="W29" s="12" t="inlineStr"/>
      <c r="X29" s="11" t="inlineStr"/>
      <c r="Y29" s="11" t="inlineStr"/>
      <c r="Z29" s="11" t="inlineStr"/>
      <c r="AA29" s="11" t="inlineStr"/>
      <c r="AB29" s="11" t="inlineStr">
        <is>
          <t>n/a</t>
        </is>
      </c>
      <c r="AC29" s="11" t="inlineStr"/>
      <c r="AD29" s="13" t="n">
        <v>46220</v>
      </c>
      <c r="AE29" s="13" t="n">
        <v>46583</v>
      </c>
      <c r="AF29" s="11" t="inlineStr">
        <is>
          <t>PR</t>
        </is>
      </c>
      <c r="AG29" s="12" t="inlineStr"/>
    </row>
    <row r="30">
      <c r="A30" s="11" t="inlineStr">
        <is>
          <t>CP-9(1)</t>
        </is>
      </c>
      <c r="B30" s="11" t="inlineStr">
        <is>
          <t>CP - Contingency Planning</t>
        </is>
      </c>
      <c r="C30" s="12" t="inlineStr">
        <is>
          <t>Testing for Reliability and Integrity</t>
        </is>
      </c>
      <c r="D30" s="11" t="inlineStr">
        <is>
          <t>Moderate</t>
        </is>
      </c>
      <c r="E30" s="12" t="inlineStr">
        <is>
          <t>Test backup information at a defined frequency to verify media reliability and information integrity.</t>
        </is>
      </c>
      <c r="F30" s="11" t="inlineStr">
        <is>
          <t>Applicable</t>
        </is>
      </c>
      <c r="G30" s="12" t="inlineStr"/>
      <c r="H30" s="11" t="inlineStr">
        <is>
          <t>System-specific</t>
        </is>
      </c>
      <c r="I30" s="11" t="inlineStr">
        <is>
          <t>SYS-04</t>
        </is>
      </c>
      <c r="J30" s="11" t="inlineStr">
        <is>
          <t>Tomasz Wierzbicki (Director, Platform Engineering)</t>
        </is>
      </c>
      <c r="K30" s="11" t="inlineStr">
        <is>
          <t>REQ-011; REQ-017</t>
        </is>
      </c>
      <c r="L30" s="11" t="inlineStr">
        <is>
          <t>Implemented</t>
        </is>
      </c>
      <c r="M30" s="11" t="inlineStr">
        <is>
          <t>Partially Implemented</t>
        </is>
      </c>
      <c r="N30" s="11">
        <f>IF(L30&lt;&gt;M30,"Yes","No")</f>
        <v/>
      </c>
      <c r="O30" s="12" t="inlineStr">
        <is>
          <t>The owner treated backup-job success notifications as testing. No restore of wcp-core-db from the DR vault had been performed or documented.</t>
        </is>
      </c>
      <c r="P30" s="12" t="inlineStr">
        <is>
          <t>Restore test records showing restore steps, time taken, data-integrity checks, and results against RTO/RPO</t>
        </is>
      </c>
      <c r="Q30" s="11" t="inlineStr">
        <is>
          <t>EVID-035; EVID-069</t>
        </is>
      </c>
      <c r="R30" s="12" t="inlineStr">
        <is>
          <t>GRC-Vault:/WCP-2026/CP/EVID-035_backup-job-notifications.pdf; evidence/CP/EVID-069_restore-test-record_2026-08-27.md</t>
        </is>
      </c>
      <c r="S30" s="11" t="inlineStr">
        <is>
          <t>Operating Effectiveness</t>
        </is>
      </c>
      <c r="T30" s="11" t="inlineStr">
        <is>
          <t>Examine, Test</t>
        </is>
      </c>
      <c r="U30" s="12" t="inlineStr">
        <is>
          <t>Expected: an annual documented restore test with integrity validation. Actual: none; job-success logs only (EVID-035, Insufficient). Validation: the assessor observed a restore test on 2026-08-27 (EVID-069). wcp-core-db was restored from the wcp-dr vault into an isolated account in 3h41m (RTO 4h). Data loss was 11 minutes (RPO 1h). Row-count and checksum validation passed on 12 tables.</t>
        </is>
      </c>
      <c r="V30" s="11" t="inlineStr">
        <is>
          <t>Other Than Satisfied</t>
        </is>
      </c>
      <c r="W30" s="12" t="inlineStr">
        <is>
          <t>Backup recoverability had never been demonstrated.</t>
        </is>
      </c>
      <c r="X30" s="11" t="inlineStr">
        <is>
          <t>Moderate</t>
        </is>
      </c>
      <c r="Y30" s="11" t="inlineStr">
        <is>
          <t>RISK-008</t>
        </is>
      </c>
      <c r="Z30" s="11" t="inlineStr">
        <is>
          <t>FIND-013</t>
        </is>
      </c>
      <c r="AA30" s="11" t="inlineStr">
        <is>
          <t>POAM-013</t>
        </is>
      </c>
      <c r="AB30" s="11" t="inlineStr">
        <is>
          <t>POAM-013: Closed</t>
        </is>
      </c>
      <c r="AC30" s="11" t="inlineStr"/>
      <c r="AD30" s="13" t="n">
        <v>46266</v>
      </c>
      <c r="AE30" s="13" t="n">
        <v>46583</v>
      </c>
      <c r="AF30" s="11" t="inlineStr">
        <is>
          <t>RC</t>
        </is>
      </c>
      <c r="AG30" s="12" t="inlineStr"/>
    </row>
    <row r="31">
      <c r="A31" s="11" t="inlineStr">
        <is>
          <t>IA-2</t>
        </is>
      </c>
      <c r="B31" s="11" t="inlineStr">
        <is>
          <t>IA - Identification and Authentication</t>
        </is>
      </c>
      <c r="C31" s="12" t="inlineStr">
        <is>
          <t>Identification and Authentication (Organizational Users)</t>
        </is>
      </c>
      <c r="D31" s="11" t="inlineStr">
        <is>
          <t>Moderate</t>
        </is>
      </c>
      <c r="E31" s="12" t="inlineStr">
        <is>
          <t>Uniquely identify and authenticate organizational users and associate that identification with processes acting on their behalf.</t>
        </is>
      </c>
      <c r="F31" s="11" t="inlineStr">
        <is>
          <t>Applicable</t>
        </is>
      </c>
      <c r="G31" s="12" t="inlineStr"/>
      <c r="H31" s="11" t="inlineStr">
        <is>
          <t>Common (Okta)</t>
        </is>
      </c>
      <c r="I31" s="11" t="inlineStr">
        <is>
          <t>SYS-02, and all SSO-integrated systems</t>
        </is>
      </c>
      <c r="J31" s="11" t="inlineStr">
        <is>
          <t>Nadia Rahman (IAM Engineer)</t>
        </is>
      </c>
      <c r="K31" s="11" t="inlineStr">
        <is>
          <t>REQ-020</t>
        </is>
      </c>
      <c r="L31" s="11" t="inlineStr">
        <is>
          <t>Implemented</t>
        </is>
      </c>
      <c r="M31" s="11" t="inlineStr">
        <is>
          <t>Implemented</t>
        </is>
      </c>
      <c r="N31" s="11">
        <f>IF(L31&lt;&gt;M31,"Yes","No")</f>
        <v/>
      </c>
      <c r="O31" s="12" t="inlineStr">
        <is>
          <t>Every workforce user has a unique Okta identity tied to an HR worker ID. Shared human accounts are prohibited (ACP-002 §4.2). The one shared vendor login found (ironpeak-soc) is reported under AC-2 and IA-5 as FIND-005.</t>
        </is>
      </c>
      <c r="P31" s="12" t="inlineStr">
        <is>
          <t>User population with unique identifiers mapped to HR</t>
        </is>
      </c>
      <c r="Q31" s="11" t="inlineStr">
        <is>
          <t>EVID-005</t>
        </is>
      </c>
      <c r="R31" s="12" t="inlineStr">
        <is>
          <t>access-review/source-exports/okta_users.csv</t>
        </is>
      </c>
      <c r="S31" s="11" t="inlineStr">
        <is>
          <t>Implementation</t>
        </is>
      </c>
      <c r="T31" s="11" t="inlineStr">
        <is>
          <t>Examine, Test</t>
        </is>
      </c>
      <c r="U31" s="12" t="inlineStr">
        <is>
          <t>Mapped the Okta population to HR worker IDs. Expected: unique identity per person. Actual: met for workforce identities (the duplicate rgupta2 is one person with two accounts, handled under AC-2 and FIND-004). The shared EDR vendor login is handled under FIND-005.</t>
        </is>
      </c>
      <c r="V31" s="11" t="inlineStr">
        <is>
          <t>Satisfied</t>
        </is>
      </c>
      <c r="W31" s="12" t="inlineStr"/>
      <c r="X31" s="11" t="inlineStr"/>
      <c r="Y31" s="11" t="inlineStr"/>
      <c r="Z31" s="11" t="inlineStr"/>
      <c r="AA31" s="11" t="inlineStr"/>
      <c r="AB31" s="11" t="inlineStr">
        <is>
          <t>n/a</t>
        </is>
      </c>
      <c r="AC31" s="11" t="inlineStr"/>
      <c r="AD31" s="13" t="n">
        <v>46220</v>
      </c>
      <c r="AE31" s="13" t="n">
        <v>46583</v>
      </c>
      <c r="AF31" s="11" t="inlineStr">
        <is>
          <t>PR</t>
        </is>
      </c>
      <c r="AG31" s="12" t="inlineStr"/>
    </row>
    <row r="32">
      <c r="A32" s="11" t="inlineStr">
        <is>
          <t>IA-2(1)</t>
        </is>
      </c>
      <c r="B32" s="11" t="inlineStr">
        <is>
          <t>IA - Identification and Authentication</t>
        </is>
      </c>
      <c r="C32" s="12" t="inlineStr">
        <is>
          <t>Multi-factor Authentication to Privileged Accounts</t>
        </is>
      </c>
      <c r="D32" s="11" t="inlineStr">
        <is>
          <t>Moderate</t>
        </is>
      </c>
      <c r="E32" s="12" t="inlineStr">
        <is>
          <t>Implement multi-factor authentication for access to privileged accounts.</t>
        </is>
      </c>
      <c r="F32" s="11" t="inlineStr">
        <is>
          <t>Applicable</t>
        </is>
      </c>
      <c r="G32" s="12" t="inlineStr"/>
      <c r="H32" s="11" t="inlineStr">
        <is>
          <t>Hybrid (Okta + AWS IAM)</t>
        </is>
      </c>
      <c r="I32" s="11" t="inlineStr">
        <is>
          <t>SYS-01, SYS-02</t>
        </is>
      </c>
      <c r="J32" s="11" t="inlineStr">
        <is>
          <t>Nadia Rahman (IAM Engineer)</t>
        </is>
      </c>
      <c r="K32" s="11" t="inlineStr">
        <is>
          <t>REQ-003; REQ-020</t>
        </is>
      </c>
      <c r="L32" s="11" t="inlineStr">
        <is>
          <t>Implemented</t>
        </is>
      </c>
      <c r="M32" s="11" t="inlineStr">
        <is>
          <t>Partially Implemented</t>
        </is>
      </c>
      <c r="N32" s="11">
        <f>IF(L32&lt;&gt;M32,"Yes","No")</f>
        <v/>
      </c>
      <c r="O32" s="12" t="inlineStr">
        <is>
          <t>The Okta global session policy requires MFA except for members of MFA-Exempt-Legacy (a 2023 policy). AWS Identity Center access inherits Okta MFA. Legacy IAM users authenticate directly to AWS.</t>
        </is>
      </c>
      <c r="P32" s="12" t="inlineStr">
        <is>
          <t>Authentication policies; exemption groups; privileged-user MFA status; AWS credential report</t>
        </is>
      </c>
      <c r="Q32" s="11" t="inlineStr">
        <is>
          <t>EVID-007; EVID-010; EVID-011; EVID-063; EVID-064</t>
        </is>
      </c>
      <c r="R32" s="12" t="inlineStr">
        <is>
          <t>evidence/IA/EVID-007_aws-iam-credential-report_2026-06-30.csv; evidence/IA/EVID-010_okta-authentication-policies_2026-06-30.json; evidence/IA/EVID-011_okta-mfa-exempt-group_2026-06-30.csv; evidence/IA/EVID-063_okta-authentication-policies_2026-09-04.json; evidence/IA/EVID-064_aws-iam-credential-report_2026-09-04.csv</t>
        </is>
      </c>
      <c r="S32" s="11" t="inlineStr">
        <is>
          <t>Implementation</t>
        </is>
      </c>
      <c r="T32" s="11" t="inlineStr">
        <is>
          <t>Examine, Test</t>
        </is>
      </c>
      <c r="U32" s="12" t="inlineStr">
        <is>
          <t>Expected: 100% of privileged access requires MFA. Actual: 1 Okta Super Administrator (kbrandt) was in the exemption group, and the IAM user mfeld-admin (AdministratorAccess) had a console password without MFA. Validation (2026-09-04): the exemption policy and group were deleted, admin apps require phishing-resistant factors, and only aws-breakglass (hardware MFA) remains as an IAM user. A password-only sign-in was re-performed and denied.</t>
        </is>
      </c>
      <c r="V32" s="11" t="inlineStr">
        <is>
          <t>Other Than Satisfied</t>
        </is>
      </c>
      <c r="W32" s="12" t="inlineStr">
        <is>
          <t>MFA was bypassable for some privileged access.</t>
        </is>
      </c>
      <c r="X32" s="11" t="inlineStr">
        <is>
          <t>High</t>
        </is>
      </c>
      <c r="Y32" s="11" t="inlineStr">
        <is>
          <t>RISK-003; RISK-001</t>
        </is>
      </c>
      <c r="Z32" s="11" t="inlineStr">
        <is>
          <t>FIND-002</t>
        </is>
      </c>
      <c r="AA32" s="11" t="inlineStr">
        <is>
          <t>POAM-002</t>
        </is>
      </c>
      <c r="AB32" s="11" t="inlineStr">
        <is>
          <t>POAM-002: Closed</t>
        </is>
      </c>
      <c r="AC32" s="11" t="inlineStr"/>
      <c r="AD32" s="13" t="n">
        <v>46270</v>
      </c>
      <c r="AE32" s="13" t="n">
        <v>46583</v>
      </c>
      <c r="AF32" s="11" t="inlineStr">
        <is>
          <t>PR</t>
        </is>
      </c>
      <c r="AG32" s="12" t="inlineStr"/>
    </row>
    <row r="33">
      <c r="A33" s="11" t="inlineStr">
        <is>
          <t>IA-2(2)</t>
        </is>
      </c>
      <c r="B33" s="11" t="inlineStr">
        <is>
          <t>IA - Identification and Authentication</t>
        </is>
      </c>
      <c r="C33" s="12" t="inlineStr">
        <is>
          <t>Multi-factor Authentication to Non-privileged Accounts</t>
        </is>
      </c>
      <c r="D33" s="11" t="inlineStr">
        <is>
          <t>Moderate</t>
        </is>
      </c>
      <c r="E33" s="12" t="inlineStr">
        <is>
          <t>Implement multi-factor authentication for access to non-privileged accounts.</t>
        </is>
      </c>
      <c r="F33" s="11" t="inlineStr">
        <is>
          <t>Applicable</t>
        </is>
      </c>
      <c r="G33" s="12" t="inlineStr"/>
      <c r="H33" s="11" t="inlineStr">
        <is>
          <t>Common (Okta)</t>
        </is>
      </c>
      <c r="I33" s="11" t="inlineStr">
        <is>
          <t>SYS-02</t>
        </is>
      </c>
      <c r="J33" s="11" t="inlineStr">
        <is>
          <t>Nadia Rahman (IAM Engineer)</t>
        </is>
      </c>
      <c r="K33" s="11" t="inlineStr">
        <is>
          <t>REQ-003; REQ-020</t>
        </is>
      </c>
      <c r="L33" s="11" t="inlineStr">
        <is>
          <t>Implemented</t>
        </is>
      </c>
      <c r="M33" s="11" t="inlineStr">
        <is>
          <t>Partially Implemented</t>
        </is>
      </c>
      <c r="N33" s="11">
        <f>IF(L33&lt;&gt;M33,"Yes","No")</f>
        <v/>
      </c>
      <c r="O33" s="12" t="inlineStr">
        <is>
          <t>As for IA-2(1). The exemption group held 11 accounts (9 human, 2 service), added 2023–2025 for lost phones, SMS problems, shared clinic workstations, and a scanner.</t>
        </is>
      </c>
      <c r="P33" s="12" t="inlineStr">
        <is>
          <t>Authentication policy; exemption group membership with reasons and approvals</t>
        </is>
      </c>
      <c r="Q33" s="11" t="inlineStr">
        <is>
          <t>EVID-010; EVID-011; EVID-063</t>
        </is>
      </c>
      <c r="R33" s="12" t="inlineStr">
        <is>
          <t>evidence/IA/EVID-010_okta-authentication-policies_2026-06-30.json; evidence/IA/EVID-011_okta-mfa-exempt-group_2026-06-30.csv; evidence/IA/EVID-063_okta-authentication-policies_2026-09-04.json</t>
        </is>
      </c>
      <c r="S33" s="11" t="inlineStr">
        <is>
          <t>Implementation</t>
        </is>
      </c>
      <c r="T33" s="11" t="inlineStr">
        <is>
          <t>Examine, Test</t>
        </is>
      </c>
      <c r="U33" s="12" t="inlineStr">
        <is>
          <t>Expected: 100% MFA, or time-bound approved exceptions. Actual: 9 of 347 human accounts (2.6%) exempt, and 0 of 11 exemptions had approval or expiry (the oldest dated 2023-05). Validation: all 9 enrolled (1 with a hardware key as an accessibility accommodation), both service accounts converted to non-interactive integrations, and the group deleted.</t>
        </is>
      </c>
      <c r="V33" s="11" t="inlineStr">
        <is>
          <t>Other Than Satisfied</t>
        </is>
      </c>
      <c r="W33" s="12" t="inlineStr">
        <is>
          <t>Permanent, unapproved MFA exemptions.</t>
        </is>
      </c>
      <c r="X33" s="11" t="inlineStr">
        <is>
          <t>High</t>
        </is>
      </c>
      <c r="Y33" s="11" t="inlineStr">
        <is>
          <t>RISK-003</t>
        </is>
      </c>
      <c r="Z33" s="11" t="inlineStr">
        <is>
          <t>FIND-002</t>
        </is>
      </c>
      <c r="AA33" s="11" t="inlineStr">
        <is>
          <t>POAM-002</t>
        </is>
      </c>
      <c r="AB33" s="11" t="inlineStr">
        <is>
          <t>POAM-002: Closed</t>
        </is>
      </c>
      <c r="AC33" s="11" t="inlineStr"/>
      <c r="AD33" s="13" t="n">
        <v>46270</v>
      </c>
      <c r="AE33" s="13" t="n">
        <v>46583</v>
      </c>
      <c r="AF33" s="11" t="inlineStr">
        <is>
          <t>PR</t>
        </is>
      </c>
      <c r="AG33" s="12" t="inlineStr"/>
    </row>
    <row r="34">
      <c r="A34" s="11" t="inlineStr">
        <is>
          <t>IA-2(8)</t>
        </is>
      </c>
      <c r="B34" s="11" t="inlineStr">
        <is>
          <t>IA - Identification and Authentication</t>
        </is>
      </c>
      <c r="C34" s="12" t="inlineStr">
        <is>
          <t>Access to Accounts — Replay Resistant</t>
        </is>
      </c>
      <c r="D34" s="11" t="inlineStr">
        <is>
          <t>Moderate</t>
        </is>
      </c>
      <c r="E34" s="12" t="inlineStr">
        <is>
          <t>Implement replay-resistant authentication mechanisms for access to privileged and non-privileged accounts.</t>
        </is>
      </c>
      <c r="F34" s="11" t="inlineStr">
        <is>
          <t>Applicable</t>
        </is>
      </c>
      <c r="G34" s="12" t="inlineStr"/>
      <c r="H34" s="11" t="inlineStr">
        <is>
          <t>Common (Okta)</t>
        </is>
      </c>
      <c r="I34" s="11" t="inlineStr">
        <is>
          <t>SYS-02</t>
        </is>
      </c>
      <c r="J34" s="11" t="inlineStr">
        <is>
          <t>Nadia Rahman (IAM Engineer)</t>
        </is>
      </c>
      <c r="K34" s="11" t="inlineStr">
        <is>
          <t>REQ-020</t>
        </is>
      </c>
      <c r="L34" s="11" t="inlineStr">
        <is>
          <t>Implemented</t>
        </is>
      </c>
      <c r="M34" s="11" t="inlineStr">
        <is>
          <t>Implemented</t>
        </is>
      </c>
      <c r="N34" s="11">
        <f>IF(L34&lt;&gt;M34,"Yes","No")</f>
        <v/>
      </c>
      <c r="O34" s="12" t="inlineStr">
        <is>
          <t>All enabled authenticators are replay-resistant (Okta Verify push with number challenge, FastPass, FIDO2/WebAuthn, TOTP). SMS, voice, email, and security questions have been disabled org-wide since 2025.</t>
        </is>
      </c>
      <c r="P34" s="12" t="inlineStr">
        <is>
          <t>Authenticator configuration</t>
        </is>
      </c>
      <c r="Q34" s="11" t="inlineStr">
        <is>
          <t>EVID-012; EVID-010</t>
        </is>
      </c>
      <c r="R34" s="12" t="inlineStr">
        <is>
          <t>GRC-Vault:/WCP-2026/IA/EVID-012_okta-authenticators.json; evidence/IA/EVID-010_okta-authentication-policies_2026-06-30.json</t>
        </is>
      </c>
      <c r="S34" s="11" t="inlineStr">
        <is>
          <t>Implementation</t>
        </is>
      </c>
      <c r="T34" s="11" t="inlineStr">
        <is>
          <t>Examine</t>
        </is>
      </c>
      <c r="U34" s="12" t="inlineStr">
        <is>
          <t>Examined the enabled authenticators. Expected: only replay-resistant factors for users who authenticate with MFA. Actual: met. The exempt users under IA-2(1)/(2) did not use weak factors; they used no second factor at all.</t>
        </is>
      </c>
      <c r="V34" s="11" t="inlineStr">
        <is>
          <t>Satisfied</t>
        </is>
      </c>
      <c r="W34" s="12" t="inlineStr"/>
      <c r="X34" s="11" t="inlineStr"/>
      <c r="Y34" s="11" t="inlineStr"/>
      <c r="Z34" s="11" t="inlineStr"/>
      <c r="AA34" s="11" t="inlineStr"/>
      <c r="AB34" s="11" t="inlineStr">
        <is>
          <t>n/a</t>
        </is>
      </c>
      <c r="AC34" s="11" t="inlineStr"/>
      <c r="AD34" s="13" t="n">
        <v>46220</v>
      </c>
      <c r="AE34" s="13" t="n">
        <v>46583</v>
      </c>
      <c r="AF34" s="11" t="inlineStr">
        <is>
          <t>PR</t>
        </is>
      </c>
      <c r="AG34" s="12" t="inlineStr"/>
    </row>
    <row r="35">
      <c r="A35" s="11" t="inlineStr">
        <is>
          <t>IA-5</t>
        </is>
      </c>
      <c r="B35" s="11" t="inlineStr">
        <is>
          <t>IA - Identification and Authentication</t>
        </is>
      </c>
      <c r="C35" s="12" t="inlineStr">
        <is>
          <t>Authenticator Management</t>
        </is>
      </c>
      <c r="D35" s="11" t="inlineStr">
        <is>
          <t>Moderate</t>
        </is>
      </c>
      <c r="E35" s="12" t="inlineStr">
        <is>
          <t>Manage authenticators by verifying identity before distribution, establishing initial content, ensuring strength, managing lost or compromised authenticators, changing or refreshing them at defined frequencies, and protecting their content.</t>
        </is>
      </c>
      <c r="F35" s="11" t="inlineStr">
        <is>
          <t>Applicable</t>
        </is>
      </c>
      <c r="G35" s="12" t="inlineStr"/>
      <c r="H35" s="11" t="inlineStr">
        <is>
          <t>Hybrid</t>
        </is>
      </c>
      <c r="I35" s="11" t="inlineStr">
        <is>
          <t>SYS-01, SYS-02, SYS-05, SYS-08</t>
        </is>
      </c>
      <c r="J35" s="11" t="inlineStr">
        <is>
          <t>Nadia Rahman (IAM Engineer)</t>
        </is>
      </c>
      <c r="K35" s="11" t="inlineStr">
        <is>
          <t>REQ-020</t>
        </is>
      </c>
      <c r="L35" s="11" t="inlineStr">
        <is>
          <t>Implemented</t>
        </is>
      </c>
      <c r="M35" s="11" t="inlineStr">
        <is>
          <t>Partially Implemented</t>
        </is>
      </c>
      <c r="N35" s="11">
        <f>IF(L35&lt;&gt;M35,"Yes","No")</f>
        <v/>
      </c>
      <c r="O35" s="12" t="inlineStr">
        <is>
          <t>Human authenticators are strong (Okta password policy plus MFA; help-desk identity verification SOP). For service credentials, the standard requires rotation within 365 days or federation. Secrets Manager auto-rotates DB credentials, and CI/CD uses OIDC with no static keys. Some legacy service credentials are outside this.</t>
        </is>
      </c>
      <c r="P35" s="12" t="inlineStr">
        <is>
          <t>Password and authenticator policies; service credential inventory with rotation dates; help-desk verification records</t>
        </is>
      </c>
      <c r="Q35" s="11" t="inlineStr">
        <is>
          <t>EVID-007; EVID-013; EVID-064; EVID-065</t>
        </is>
      </c>
      <c r="R35" s="12" t="inlineStr">
        <is>
          <t>evidence/IA/EVID-007_aws-iam-credential-report_2026-06-30.csv; access-review/source-exports/service_accounts.csv; evidence/IA/EVID-064_aws-iam-credential-report_2026-09-04.csv; GRC-Vault:/WCP-2026/IA/EVID-065_service-register-v2026-09.csv</t>
        </is>
      </c>
      <c r="S35" s="11" t="inlineStr">
        <is>
          <t>Operating Effectiveness</t>
        </is>
      </c>
      <c r="T35" s="11" t="inlineStr">
        <is>
          <t>Examine, Test</t>
        </is>
      </c>
      <c r="U35" s="12" t="inlineStr">
        <is>
          <t>Tested credential age for all 13 registered non-human accounts. Expected: none older than 365 days unless federated. Actual: 3 stale (svc-quarrystone-sftp SSH key 811 days; svc-reporting-etl access key 539 days; svc-vulnscan password since 2023), and 1 shared vendor password (ironpeak-soc). Sampled 5 help-desk MFA resets: 5 of 5 had identity verification recorded.</t>
        </is>
      </c>
      <c r="V35" s="11" t="inlineStr">
        <is>
          <t>Other Than Satisfied</t>
        </is>
      </c>
      <c r="W35" s="12" t="inlineStr">
        <is>
          <t>Long-lived static service credentials, and a shared credential.</t>
        </is>
      </c>
      <c r="X35" s="11" t="inlineStr">
        <is>
          <t>Moderate</t>
        </is>
      </c>
      <c r="Y35" s="11" t="inlineStr">
        <is>
          <t>RISK-017</t>
        </is>
      </c>
      <c r="Z35" s="11" t="inlineStr">
        <is>
          <t>FIND-005</t>
        </is>
      </c>
      <c r="AA35" s="11" t="inlineStr">
        <is>
          <t>POAM-005</t>
        </is>
      </c>
      <c r="AB35" s="11" t="inlineStr">
        <is>
          <t>POAM-005: Closed</t>
        </is>
      </c>
      <c r="AC35" s="11" t="inlineStr"/>
      <c r="AD35" s="13" t="n">
        <v>46277</v>
      </c>
      <c r="AE35" s="13" t="n">
        <v>46583</v>
      </c>
      <c r="AF35" s="11" t="inlineStr">
        <is>
          <t>PR</t>
        </is>
      </c>
      <c r="AG35" s="12" t="inlineStr"/>
    </row>
    <row r="36">
      <c r="A36" s="11" t="inlineStr">
        <is>
          <t>IR-3</t>
        </is>
      </c>
      <c r="B36" s="11" t="inlineStr">
        <is>
          <t>IR - Incident Response</t>
        </is>
      </c>
      <c r="C36" s="12" t="inlineStr">
        <is>
          <t>Incident Response Testing</t>
        </is>
      </c>
      <c r="D36" s="11" t="inlineStr">
        <is>
          <t>Moderate</t>
        </is>
      </c>
      <c r="E36" s="12" t="inlineStr">
        <is>
          <t>Test the effectiveness of the incident response capability at a defined frequency using defined tests.</t>
        </is>
      </c>
      <c r="F36" s="11" t="inlineStr">
        <is>
          <t>Applicable</t>
        </is>
      </c>
      <c r="G36" s="12" t="inlineStr"/>
      <c r="H36" s="11" t="inlineStr">
        <is>
          <t>Common (organization-wide)</t>
        </is>
      </c>
      <c r="I36" s="11" t="inlineStr">
        <is>
          <t>WCP-PROD</t>
        </is>
      </c>
      <c r="J36" s="11" t="inlineStr">
        <is>
          <t>Owen Castillo (Security Engineer)</t>
        </is>
      </c>
      <c r="K36" s="11" t="inlineStr">
        <is>
          <t>REQ-006; REQ-016</t>
        </is>
      </c>
      <c r="L36" s="11" t="inlineStr">
        <is>
          <t>Implemented</t>
        </is>
      </c>
      <c r="M36" s="11" t="inlineStr">
        <is>
          <t>Partially Implemented</t>
        </is>
      </c>
      <c r="N36" s="11">
        <f>IF(L36&lt;&gt;M36,"Yes","No")</f>
        <v/>
      </c>
      <c r="O36" s="12" t="inlineStr">
        <is>
          <t>IRP-005 requires an annual tabletop exercise that includes the MDR, Legal/Privacy, and Customer Ops. The last tabletop was 2024-09-18 (phishing-to-BEC scenario). The 2025 exercise was deferred twice.</t>
        </is>
      </c>
      <c r="P36" s="12" t="inlineStr">
        <is>
          <t>Exercise plan, attendance, after-action report, and corrective actions within 12 months</t>
        </is>
      </c>
      <c r="Q36" s="11" t="inlineStr">
        <is>
          <t>EVID-037</t>
        </is>
      </c>
      <c r="R36" s="12" t="inlineStr">
        <is>
          <t>GRC-Vault:/WCP-2026/IR/EVID-037_tabletop-2024-09.pdf</t>
        </is>
      </c>
      <c r="S36" s="11" t="inlineStr">
        <is>
          <t>Design</t>
        </is>
      </c>
      <c r="T36" s="11" t="inlineStr">
        <is>
          <t>Examine, Interview</t>
        </is>
      </c>
      <c r="U36" s="12" t="inlineStr">
        <is>
          <t>Expected: an IR exercise within the last 12 months with tracked corrective actions. Actual: the most recent was 21 months before fieldwork (EVID-037, Insufficient for the period). The 24-hour SHCA reporting path has never been exercised. Mitigating factor: real incidents in H1 were handled well (IR-4), which lowers but does not remove the risk.</t>
        </is>
      </c>
      <c r="V36" s="11" t="inlineStr">
        <is>
          <t>Other Than Satisfied</t>
        </is>
      </c>
      <c r="W36" s="12" t="inlineStr">
        <is>
          <t>IR capability not tested in the required period; SHCA-specific reporting path not rehearsed.</t>
        </is>
      </c>
      <c r="X36" s="11" t="inlineStr">
        <is>
          <t>Moderate</t>
        </is>
      </c>
      <c r="Y36" s="11" t="inlineStr">
        <is>
          <t>RISK-009</t>
        </is>
      </c>
      <c r="Z36" s="11" t="inlineStr">
        <is>
          <t>FIND-014</t>
        </is>
      </c>
      <c r="AA36" s="11" t="inlineStr">
        <is>
          <t>POAM-014</t>
        </is>
      </c>
      <c r="AB36" s="11" t="inlineStr">
        <is>
          <t>POAM-014: In Progress</t>
        </is>
      </c>
      <c r="AC36" s="11" t="inlineStr"/>
      <c r="AD36" s="13" t="n">
        <v>46220</v>
      </c>
      <c r="AE36" s="13" t="n">
        <v>46326</v>
      </c>
      <c r="AF36" s="11" t="inlineStr">
        <is>
          <t>RS</t>
        </is>
      </c>
      <c r="AG36" s="12" t="inlineStr"/>
    </row>
    <row r="37">
      <c r="A37" s="11" t="inlineStr">
        <is>
          <t>IR-4</t>
        </is>
      </c>
      <c r="B37" s="11" t="inlineStr">
        <is>
          <t>IR - Incident Response</t>
        </is>
      </c>
      <c r="C37" s="12" t="inlineStr">
        <is>
          <t>Incident Handling</t>
        </is>
      </c>
      <c r="D37" s="11" t="inlineStr">
        <is>
          <t>Moderate</t>
        </is>
      </c>
      <c r="E37" s="12" t="inlineStr">
        <is>
          <t>Implement an incident-handling capability covering preparation, detection and analysis, containment, eradication, and recovery; coordinate with contingency planning; incorporate lessons learned.</t>
        </is>
      </c>
      <c r="F37" s="11" t="inlineStr">
        <is>
          <t>Applicable</t>
        </is>
      </c>
      <c r="G37" s="12" t="inlineStr"/>
      <c r="H37" s="11" t="inlineStr">
        <is>
          <t>Common (organization-wide)</t>
        </is>
      </c>
      <c r="I37" s="11" t="inlineStr">
        <is>
          <t>WCP-PROD</t>
        </is>
      </c>
      <c r="J37" s="11" t="inlineStr">
        <is>
          <t>Owen Castillo (Security Engineer)</t>
        </is>
      </c>
      <c r="K37" s="11" t="inlineStr">
        <is>
          <t>REQ-016</t>
        </is>
      </c>
      <c r="L37" s="11" t="inlineStr">
        <is>
          <t>Implemented</t>
        </is>
      </c>
      <c r="M37" s="11" t="inlineStr">
        <is>
          <t>Implemented</t>
        </is>
      </c>
      <c r="N37" s="11">
        <f>IF(L37&lt;&gt;M37,"Yes","No")</f>
        <v/>
      </c>
      <c r="O37" s="12" t="inlineStr">
        <is>
          <t>24x7 MDR triage with escalation to the on-call security engineer. IRP-005 playbooks for phishing, lost device, cloud credential misuse, privacy incidents, and malware. The Privacy Officer runs the HIPAA breach risk assessment.</t>
        </is>
      </c>
      <c r="P37" s="12" t="inlineStr">
        <is>
          <t>Incident records for the period with timeline, actions, and lessons learned</t>
        </is>
      </c>
      <c r="Q37" s="11" t="inlineStr">
        <is>
          <t>EVID-038; EVID-078</t>
        </is>
      </c>
      <c r="R37" s="12" t="inlineStr">
        <is>
          <t>evidence/IR/EVID-038_incident-tickets-2026H1.csv; evidence/IR/EVID-078_INC-2026-0117-investigation.md</t>
        </is>
      </c>
      <c r="S37" s="11" t="inlineStr">
        <is>
          <t>Operating Effectiveness</t>
        </is>
      </c>
      <c r="T37" s="11" t="inlineStr">
        <is>
          <t>Examine, Test</t>
        </is>
      </c>
      <c r="U37" s="12" t="inlineStr">
        <is>
          <t>Tested all 6 incidents in H1 plus INC-2026-0117 (raised during the assessment). Expected: triage within SLA, containment, documentation, and a privacy assessment where PHI was involved. Actual: 7 of 7 met. INC-2026-0117 (a post-termination sign-in) was contained the same day, and a 4-factor assessment concluded low probability of compromise.</t>
        </is>
      </c>
      <c r="V37" s="11" t="inlineStr">
        <is>
          <t>Satisfied</t>
        </is>
      </c>
      <c r="W37" s="12" t="inlineStr"/>
      <c r="X37" s="11" t="inlineStr"/>
      <c r="Y37" s="11" t="inlineStr"/>
      <c r="Z37" s="11" t="inlineStr"/>
      <c r="AA37" s="11" t="inlineStr"/>
      <c r="AB37" s="11" t="inlineStr">
        <is>
          <t>n/a</t>
        </is>
      </c>
      <c r="AC37" s="11" t="inlineStr"/>
      <c r="AD37" s="13" t="n">
        <v>46220</v>
      </c>
      <c r="AE37" s="13" t="n">
        <v>46583</v>
      </c>
      <c r="AF37" s="11" t="inlineStr">
        <is>
          <t>RS</t>
        </is>
      </c>
      <c r="AG37" s="12" t="inlineStr"/>
    </row>
    <row r="38">
      <c r="A38" s="11" t="inlineStr">
        <is>
          <t>IR-6</t>
        </is>
      </c>
      <c r="B38" s="11" t="inlineStr">
        <is>
          <t>IR - Incident Response</t>
        </is>
      </c>
      <c r="C38" s="12" t="inlineStr">
        <is>
          <t>Incident Reporting</t>
        </is>
      </c>
      <c r="D38" s="11" t="inlineStr">
        <is>
          <t>Moderate</t>
        </is>
      </c>
      <c r="E38" s="12" t="inlineStr">
        <is>
          <t>Require personnel to report suspected incidents within a defined time; report incident information to defined authorities.</t>
        </is>
      </c>
      <c r="F38" s="11" t="inlineStr">
        <is>
          <t>Applicable</t>
        </is>
      </c>
      <c r="G38" s="12" t="inlineStr"/>
      <c r="H38" s="11" t="inlineStr">
        <is>
          <t>Common (organization-wide)</t>
        </is>
      </c>
      <c r="I38" s="11" t="inlineStr">
        <is>
          <t>WCP-PROD</t>
        </is>
      </c>
      <c r="J38" s="11" t="inlineStr">
        <is>
          <t>Rachel Stein (HIPAA Privacy Officer)</t>
        </is>
      </c>
      <c r="K38" s="11" t="inlineStr">
        <is>
          <t>REQ-006; REQ-016; REQ-022</t>
        </is>
      </c>
      <c r="L38" s="11" t="inlineStr">
        <is>
          <t>Implemented</t>
        </is>
      </c>
      <c r="M38" s="11" t="inlineStr">
        <is>
          <t>Implemented</t>
        </is>
      </c>
      <c r="N38" s="11">
        <f>IF(L38&lt;&gt;M38,"Yes","No")</f>
        <v/>
      </c>
      <c r="O38" s="12" t="inlineStr">
        <is>
          <t>Workforce reporting through the #security-report Slack channel, the phone line, or MDR. External notification matrix covers customers (BAA, 5 business days), HHS (via covered entities), and SHCA (24h, from go-live).</t>
        </is>
      </c>
      <c r="P38" s="12" t="inlineStr">
        <is>
          <t>Reporting procedures; notification records for reportable incidents</t>
        </is>
      </c>
      <c r="Q38" s="11" t="inlineStr">
        <is>
          <t>EVID-038</t>
        </is>
      </c>
      <c r="R38" s="12" t="inlineStr">
        <is>
          <t>evidence/IR/EVID-038_incident-tickets-2026H1.csv</t>
        </is>
      </c>
      <c r="S38" s="11" t="inlineStr">
        <is>
          <t>Operating Effectiveness</t>
        </is>
      </c>
      <c r="T38" s="11" t="inlineStr">
        <is>
          <t>Examine, Test</t>
        </is>
      </c>
      <c r="U38" s="12" t="inlineStr">
        <is>
          <t>Expected: every incident requiring notification is notified within its contractual window. Actual: 1 notifiable privacy incident (INC-2026-0077), with the customer notified in 2 business days (the BAA allows 5). The SHCA 24h path is documented but untested (see IR-3).</t>
        </is>
      </c>
      <c r="V38" s="11" t="inlineStr">
        <is>
          <t>Satisfied</t>
        </is>
      </c>
      <c r="W38" s="12" t="inlineStr"/>
      <c r="X38" s="11" t="inlineStr"/>
      <c r="Y38" s="11" t="inlineStr"/>
      <c r="Z38" s="11" t="inlineStr"/>
      <c r="AA38" s="11" t="inlineStr"/>
      <c r="AB38" s="11" t="inlineStr">
        <is>
          <t>n/a</t>
        </is>
      </c>
      <c r="AC38" s="11" t="inlineStr"/>
      <c r="AD38" s="13" t="n">
        <v>46220</v>
      </c>
      <c r="AE38" s="13" t="n">
        <v>46583</v>
      </c>
      <c r="AF38" s="11" t="inlineStr">
        <is>
          <t>RS</t>
        </is>
      </c>
      <c r="AG38" s="12" t="inlineStr"/>
    </row>
    <row r="39">
      <c r="A39" s="11" t="inlineStr">
        <is>
          <t>IR-8</t>
        </is>
      </c>
      <c r="B39" s="11" t="inlineStr">
        <is>
          <t>IR - Incident Response</t>
        </is>
      </c>
      <c r="C39" s="12" t="inlineStr">
        <is>
          <t>Incident Response Plan</t>
        </is>
      </c>
      <c r="D39" s="11" t="inlineStr">
        <is>
          <t>Moderate</t>
        </is>
      </c>
      <c r="E39" s="12" t="inlineStr">
        <is>
          <t>Develop an incident response plan that provides a roadmap, structure, metrics, and roles; distribute, review, and update it; protect it from unauthorized disclosure.</t>
        </is>
      </c>
      <c r="F39" s="11" t="inlineStr">
        <is>
          <t>Applicable</t>
        </is>
      </c>
      <c r="G39" s="12" t="inlineStr"/>
      <c r="H39" s="11" t="inlineStr">
        <is>
          <t>Common (organization-wide)</t>
        </is>
      </c>
      <c r="I39" s="11" t="inlineStr">
        <is>
          <t>WCP-PROD</t>
        </is>
      </c>
      <c r="J39" s="11" t="inlineStr">
        <is>
          <t>Owen Castillo (Security Engineer)</t>
        </is>
      </c>
      <c r="K39" s="11" t="inlineStr">
        <is>
          <t>REQ-006; REQ-016</t>
        </is>
      </c>
      <c r="L39" s="11" t="inlineStr">
        <is>
          <t>Implemented</t>
        </is>
      </c>
      <c r="M39" s="11" t="inlineStr">
        <is>
          <t>Implemented</t>
        </is>
      </c>
      <c r="N39" s="11">
        <f>IF(L39&lt;&gt;M39,"Yes","No")</f>
        <v/>
      </c>
      <c r="O39" s="12" t="inlineStr">
        <is>
          <t>IRP-005 v4.0 was reviewed 2025-11 and approved by the CISO. It defines severity levels, roles, the MDR interface, communications, and breach assessment. The contact roster lists 2 departed staff (mfeld, a former Privacy Analyst).</t>
        </is>
      </c>
      <c r="P39" s="12" t="inlineStr">
        <is>
          <t>Current approved plan; review history; distribution</t>
        </is>
      </c>
      <c r="Q39" s="11" t="inlineStr">
        <is>
          <t>EVID-036</t>
        </is>
      </c>
      <c r="R39" s="12" t="inlineStr">
        <is>
          <t>GRC-Vault:/WCP-2026/IR/EVID-036_IRP-005_v4.0.pdf</t>
        </is>
      </c>
      <c r="S39" s="11" t="inlineStr">
        <is>
          <t>Design</t>
        </is>
      </c>
      <c r="T39" s="11" t="inlineStr">
        <is>
          <t>Examine</t>
        </is>
      </c>
      <c r="U39" s="12" t="inlineStr">
        <is>
          <t>Expected: a plan reviewed within 12 months with current contacts. Actual: reviewed 2025-11 (current), but the contact roster is stale (OBS-03), which the tabletop in POAM-014 will fix. The plan does not yet include the SHCA-specific 24h notification step; that is added in POAM-014 milestone 1.</t>
        </is>
      </c>
      <c r="V39" s="11" t="inlineStr">
        <is>
          <t>Satisfied</t>
        </is>
      </c>
      <c r="W39" s="12" t="inlineStr">
        <is>
          <t>Stale contact roster (observation).</t>
        </is>
      </c>
      <c r="X39" s="11" t="inlineStr">
        <is>
          <t>Low</t>
        </is>
      </c>
      <c r="Y39" s="11" t="inlineStr">
        <is>
          <t>RISK-009</t>
        </is>
      </c>
      <c r="Z39" s="11" t="inlineStr"/>
      <c r="AA39" s="11" t="inlineStr"/>
      <c r="AB39" s="11" t="inlineStr">
        <is>
          <t>n/a</t>
        </is>
      </c>
      <c r="AC39" s="11" t="inlineStr">
        <is>
          <t>OBS-03</t>
        </is>
      </c>
      <c r="AD39" s="13" t="n">
        <v>46220</v>
      </c>
      <c r="AE39" s="13" t="n">
        <v>46583</v>
      </c>
      <c r="AF39" s="11" t="inlineStr">
        <is>
          <t>RS</t>
        </is>
      </c>
      <c r="AG39" s="12" t="inlineStr"/>
    </row>
    <row r="40">
      <c r="A40" s="11" t="inlineStr">
        <is>
          <t>MP-6</t>
        </is>
      </c>
      <c r="B40" s="11" t="inlineStr">
        <is>
          <t>MP - Media Protection</t>
        </is>
      </c>
      <c r="C40" s="12" t="inlineStr">
        <is>
          <t>Media Sanitization</t>
        </is>
      </c>
      <c r="D40" s="11" t="inlineStr">
        <is>
          <t>Moderate</t>
        </is>
      </c>
      <c r="E40" s="12" t="inlineStr">
        <is>
          <t>Sanitize system media before disposal, release, or reuse using defined techniques; use mechanisms with strength and integrity matching the information's classification.</t>
        </is>
      </c>
      <c r="F40" s="11" t="inlineStr">
        <is>
          <t>Applicable</t>
        </is>
      </c>
      <c r="G40" s="12" t="inlineStr"/>
      <c r="H40" s="11" t="inlineStr">
        <is>
          <t>Hybrid (AWS-managed storage media inherited; endpoints Wrenfield)</t>
        </is>
      </c>
      <c r="I40" s="11" t="inlineStr">
        <is>
          <t>SYS-10 (endpoints); AWS storage inherited</t>
        </is>
      </c>
      <c r="J40" s="11" t="inlineStr">
        <is>
          <t>Kevin Brandt (IT Manager)</t>
        </is>
      </c>
      <c r="K40" s="11" t="inlineStr">
        <is>
          <t>REQ-021</t>
        </is>
      </c>
      <c r="L40" s="11" t="inlineStr">
        <is>
          <t>Implemented</t>
        </is>
      </c>
      <c r="M40" s="11" t="inlineStr">
        <is>
          <t>Implemented</t>
        </is>
      </c>
      <c r="N40" s="11">
        <f>IF(L40&lt;&gt;M40,"Yes","No")</f>
        <v/>
      </c>
      <c r="O40" s="12" t="inlineStr">
        <is>
          <t>Laptops are FDE-encrypted. At retirement, the MDM wipe is followed by physical destruction by Coldwater Secure Destruction (fictional ITAD), with certificates of destruction by serial number. Cloud storage media sanitization is inherited from AWS under the shared-responsibility model.</t>
        </is>
      </c>
      <c r="P40" s="12" t="inlineStr">
        <is>
          <t>Disposal records reconciled to the asset inventory; certificates of destruction</t>
        </is>
      </c>
      <c r="Q40" s="11" t="inlineStr">
        <is>
          <t>EVID-039; EVID-040</t>
        </is>
      </c>
      <c r="R40" s="12" t="inlineStr">
        <is>
          <t>GRC-Vault:/WCP-2026/MP/EVID-039_itad-certificates.pdf; docs/scope/system-profile.md</t>
        </is>
      </c>
      <c r="S40" s="11" t="inlineStr">
        <is>
          <t>Operating Effectiveness</t>
        </is>
      </c>
      <c r="T40" s="11" t="inlineStr">
        <is>
          <t>Examine, Test</t>
        </is>
      </c>
      <c r="U40" s="12" t="inlineStr">
        <is>
          <t>Reconciled 14 laptops retired in H1 (MDM status: Retired) to Coldwater certificates by serial number. Expected: 14 of 14 certificates. Actual: 14 of 14.</t>
        </is>
      </c>
      <c r="V40" s="11" t="inlineStr">
        <is>
          <t>Satisfied</t>
        </is>
      </c>
      <c r="W40" s="12" t="inlineStr"/>
      <c r="X40" s="11" t="inlineStr"/>
      <c r="Y40" s="11" t="inlineStr">
        <is>
          <t>RISK-018</t>
        </is>
      </c>
      <c r="Z40" s="11" t="inlineStr"/>
      <c r="AA40" s="11" t="inlineStr"/>
      <c r="AB40" s="11" t="inlineStr">
        <is>
          <t>n/a</t>
        </is>
      </c>
      <c r="AC40" s="11" t="inlineStr"/>
      <c r="AD40" s="13" t="n">
        <v>46220</v>
      </c>
      <c r="AE40" s="13" t="n">
        <v>46583</v>
      </c>
      <c r="AF40" s="11" t="inlineStr">
        <is>
          <t>PR</t>
        </is>
      </c>
      <c r="AG40" s="12" t="inlineStr"/>
    </row>
    <row r="41">
      <c r="A41" s="11" t="inlineStr">
        <is>
          <t>PE-3</t>
        </is>
      </c>
      <c r="B41" s="11" t="inlineStr">
        <is>
          <t>PE - Physical and Environmental Protection</t>
        </is>
      </c>
      <c r="C41" s="12" t="inlineStr">
        <is>
          <t>Physical Access Control</t>
        </is>
      </c>
      <c r="D41" s="11" t="inlineStr">
        <is>
          <t>Moderate</t>
        </is>
      </c>
      <c r="E41" s="12" t="inlineStr">
        <is>
          <t>Enforce physical access authorizations at entry and exit points to facilities where the system resides; maintain audit logs; control visitor access; secure keys and combinations.</t>
        </is>
      </c>
      <c r="F41" s="11" t="inlineStr">
        <is>
          <t>Applicable</t>
        </is>
      </c>
      <c r="G41" s="12" t="inlineStr"/>
      <c r="H41" s="11" t="inlineStr">
        <is>
          <t>Common (inherited from AWS)</t>
        </is>
      </c>
      <c r="I41" s="11" t="inlineStr">
        <is>
          <t>AWS data centers (inherited)</t>
        </is>
      </c>
      <c r="J41" s="11" t="inlineStr">
        <is>
          <t>Priya Raman (Security Compliance Manager), who verifies the inheritance</t>
        </is>
      </c>
      <c r="K41" s="11" t="inlineStr">
        <is>
          <t>REQ-001</t>
        </is>
      </c>
      <c r="L41" s="11" t="inlineStr">
        <is>
          <t>Implemented</t>
        </is>
      </c>
      <c r="M41" s="11" t="inlineStr">
        <is>
          <t>Implemented</t>
        </is>
      </c>
      <c r="N41" s="11">
        <f>IF(L41&lt;&gt;M41,"Yes","No")</f>
        <v/>
      </c>
      <c r="O41" s="12" t="inlineStr">
        <is>
          <t>Inherited. WCP-PROD runs entirely in AWS data centers, and physical security is the provider's responsibility under the shared-responsibility model. Wrenfield's responsibility is to keep the inheritance record current and review the provider's attestations annually. The HQ office holds no system components.</t>
        </is>
      </c>
      <c r="P41" s="12" t="inlineStr">
        <is>
          <t>Inheritance record; evidence of annual review of the provider's attestation documentation</t>
        </is>
      </c>
      <c r="Q41" s="11" t="inlineStr">
        <is>
          <t>EVID-040</t>
        </is>
      </c>
      <c r="R41" s="12" t="inlineStr">
        <is>
          <t>docs/scope/system-profile.md</t>
        </is>
      </c>
      <c r="S41" s="11" t="inlineStr">
        <is>
          <t>Design</t>
        </is>
      </c>
      <c r="T41" s="11" t="inlineStr">
        <is>
          <t>Examine</t>
        </is>
      </c>
      <c r="U41" s="12" t="inlineStr">
        <is>
          <t>Examined the inheritance record and confirmed the provider attestation review was logged in 2026-03 by the GRC Manager. Expected: current inheritance record and annual review. Actual: met. The provider's own controls were not tested (out of scope). No statement is made about any real provider's controls.</t>
        </is>
      </c>
      <c r="V41" s="11" t="inlineStr">
        <is>
          <t>Satisfied</t>
        </is>
      </c>
      <c r="W41" s="12" t="inlineStr"/>
      <c r="X41" s="11" t="inlineStr"/>
      <c r="Y41" s="11" t="inlineStr"/>
      <c r="Z41" s="11" t="inlineStr"/>
      <c r="AA41" s="11" t="inlineStr"/>
      <c r="AB41" s="11" t="inlineStr">
        <is>
          <t>n/a</t>
        </is>
      </c>
      <c r="AC41" s="11" t="inlineStr"/>
      <c r="AD41" s="13" t="n">
        <v>46220</v>
      </c>
      <c r="AE41" s="13" t="n">
        <v>46583</v>
      </c>
      <c r="AF41" s="11" t="inlineStr">
        <is>
          <t>PR</t>
        </is>
      </c>
      <c r="AG41" s="12" t="inlineStr"/>
    </row>
    <row r="42">
      <c r="A42" s="11" t="inlineStr">
        <is>
          <t>PL-2</t>
        </is>
      </c>
      <c r="B42" s="11" t="inlineStr">
        <is>
          <t>PL - Planning</t>
        </is>
      </c>
      <c r="C42" s="12" t="inlineStr">
        <is>
          <t>System Security and Privacy Plans</t>
        </is>
      </c>
      <c r="D42" s="11" t="inlineStr">
        <is>
          <t>Moderate</t>
        </is>
      </c>
      <c r="E42" s="12" t="inlineStr">
        <is>
          <t>Develop security and privacy plans that describe the system, boundary, categorization, threats, controls, and relationships; distribute, review, update, and protect them.</t>
        </is>
      </c>
      <c r="F42" s="11" t="inlineStr">
        <is>
          <t>Applicable</t>
        </is>
      </c>
      <c r="G42" s="12" t="inlineStr"/>
      <c r="H42" s="11" t="inlineStr">
        <is>
          <t>System-specific</t>
        </is>
      </c>
      <c r="I42" s="11" t="inlineStr">
        <is>
          <t>WCP-PROD</t>
        </is>
      </c>
      <c r="J42" s="11" t="inlineStr">
        <is>
          <t>Priya Raman (Security Compliance Manager)</t>
        </is>
      </c>
      <c r="K42" s="11" t="inlineStr">
        <is>
          <t>REQ-001; REQ-002</t>
        </is>
      </c>
      <c r="L42" s="11" t="inlineStr">
        <is>
          <t>Implemented</t>
        </is>
      </c>
      <c r="M42" s="11" t="inlineStr">
        <is>
          <t>Partially Implemented</t>
        </is>
      </c>
      <c r="N42" s="11">
        <f>IF(L42&lt;&gt;M42,"Yes","No")</f>
        <v/>
      </c>
      <c r="O42" s="12" t="inlineStr">
        <is>
          <t>SSP v1.3 dated 2025-02. It predates the EKS migration (2025-Q3), the Quarrystone SFTP data flow, and the log-archive account, and states a higher implementation status than testing supports for 27 of the 61 in-scope controls (the 'owner-stated' column in the matrix). It was written for SOC 2 narrative purposes and is not organized by 800-53 control.</t>
        </is>
      </c>
      <c r="P42" s="12" t="inlineStr">
        <is>
          <t>Current SSP reflecting the boundary, inventory, data flows, and control implementations</t>
        </is>
      </c>
      <c r="Q42" s="11" t="inlineStr">
        <is>
          <t>EVID-041</t>
        </is>
      </c>
      <c r="R42" s="12" t="inlineStr">
        <is>
          <t>GRC-Vault:/WCP-2026/PL/EVID-041_SSP_v1.3.pdf</t>
        </is>
      </c>
      <c r="S42" s="11" t="inlineStr">
        <is>
          <t>Design</t>
        </is>
      </c>
      <c r="T42" s="11" t="inlineStr">
        <is>
          <t>Examine</t>
        </is>
      </c>
      <c r="U42" s="12" t="inlineStr">
        <is>
          <t>Compared the SSP to the as-found environment (system profile). Expected: SSP current within 12 months and accurate. Actual: 19 months old, 3 major architecture changes missing, and 27 of 61 controls described at a higher implementation status than testing supports.</t>
        </is>
      </c>
      <c r="V42" s="11" t="inlineStr">
        <is>
          <t>Other Than Satisfied</t>
        </is>
      </c>
      <c r="W42" s="12" t="inlineStr">
        <is>
          <t>Outdated SSP that overstates controls.</t>
        </is>
      </c>
      <c r="X42" s="11" t="inlineStr">
        <is>
          <t>Low</t>
        </is>
      </c>
      <c r="Y42" s="11" t="inlineStr">
        <is>
          <t>RISK-016</t>
        </is>
      </c>
      <c r="Z42" s="11" t="inlineStr">
        <is>
          <t>FIND-017</t>
        </is>
      </c>
      <c r="AA42" s="11" t="inlineStr">
        <is>
          <t>POAM-017</t>
        </is>
      </c>
      <c r="AB42" s="11" t="inlineStr">
        <is>
          <t>POAM-017: In Progress</t>
        </is>
      </c>
      <c r="AC42" s="11" t="inlineStr"/>
      <c r="AD42" s="13" t="n">
        <v>46220</v>
      </c>
      <c r="AE42" s="13" t="n">
        <v>46371</v>
      </c>
      <c r="AF42" s="11" t="inlineStr">
        <is>
          <t>GV</t>
        </is>
      </c>
      <c r="AG42" s="12" t="inlineStr">
        <is>
          <t>The SSP rewrite is scoped to SP 800-18 Rev. 2 (June 2026), which covers security, privacy, and C-SCRM plans together.</t>
        </is>
      </c>
    </row>
    <row r="43">
      <c r="A43" s="11" t="inlineStr">
        <is>
          <t>PM-9</t>
        </is>
      </c>
      <c r="B43" s="11" t="inlineStr">
        <is>
          <t>PM - Program Management</t>
        </is>
      </c>
      <c r="C43" s="12" t="inlineStr">
        <is>
          <t>Risk Management Strategy</t>
        </is>
      </c>
      <c r="D43" s="11" t="inlineStr">
        <is>
          <t>Org-level (PM family is not allocated to baselines)</t>
        </is>
      </c>
      <c r="E43" s="12" t="inlineStr">
        <is>
          <t>Develop an organization-wide strategy for managing security and privacy risk, including risk tolerance; implement it consistently; review and update it at a defined frequency.</t>
        </is>
      </c>
      <c r="F43" s="11" t="inlineStr">
        <is>
          <t>Applicable</t>
        </is>
      </c>
      <c r="G43" s="12" t="inlineStr"/>
      <c r="H43" s="11" t="inlineStr">
        <is>
          <t>Common (organization-wide)</t>
        </is>
      </c>
      <c r="I43" s="11" t="inlineStr">
        <is>
          <t>Organization-wide</t>
        </is>
      </c>
      <c r="J43" s="11" t="inlineStr">
        <is>
          <t>Alicia Moreno (CISO)</t>
        </is>
      </c>
      <c r="K43" s="11" t="inlineStr">
        <is>
          <t>REQ-024; REQ-012</t>
        </is>
      </c>
      <c r="L43" s="11" t="inlineStr">
        <is>
          <t>Implemented</t>
        </is>
      </c>
      <c r="M43" s="11" t="inlineStr">
        <is>
          <t>Implemented</t>
        </is>
      </c>
      <c r="N43" s="11">
        <f>IF(L43&lt;&gt;M43,"Yes","No")</f>
        <v/>
      </c>
      <c r="O43" s="12" t="inlineStr">
        <is>
          <t>Risk Management Strategy RMS-001 and a Board-approved Risk Appetite Statement (2025-10-21) define appetite by rating, acceptance authority, and escalation. The risk-scoring methodology (RSK-MTH-001) operationalizes them.</t>
        </is>
      </c>
      <c r="P43" s="12" t="inlineStr">
        <is>
          <t>Approved strategy and appetite; evidence of use in decisions</t>
        </is>
      </c>
      <c r="Q43" s="11" t="inlineStr">
        <is>
          <t>EVID-042; EVID-060</t>
        </is>
      </c>
      <c r="R43" s="12" t="inlineStr">
        <is>
          <t>GRC-Vault:/WCP-2026/PM/EVID-042_RMS-001_and_appetite.pdf; risk/risk-acceptance/RACC-001.md</t>
        </is>
      </c>
      <c r="S43" s="11" t="inlineStr">
        <is>
          <t>Operating Effectiveness</t>
        </is>
      </c>
      <c r="T43" s="11" t="inlineStr">
        <is>
          <t>Examine, Interview</t>
        </is>
      </c>
      <c r="U43" s="12" t="inlineStr">
        <is>
          <t>Expected: an approved strategy with defined tolerance, applied in decisions. Actual: met. RACC-001 followed the acceptance authority matrix, and VR-001 (Critical) was escalated to the CEO within 5 business days as the strategy requires.</t>
        </is>
      </c>
      <c r="V43" s="11" t="inlineStr">
        <is>
          <t>Satisfied</t>
        </is>
      </c>
      <c r="W43" s="12" t="inlineStr"/>
      <c r="X43" s="11" t="inlineStr"/>
      <c r="Y43" s="11" t="inlineStr"/>
      <c r="Z43" s="11" t="inlineStr"/>
      <c r="AA43" s="11" t="inlineStr"/>
      <c r="AB43" s="11" t="inlineStr">
        <is>
          <t>n/a</t>
        </is>
      </c>
      <c r="AC43" s="11" t="inlineStr">
        <is>
          <t>OBS-06</t>
        </is>
      </c>
      <c r="AD43" s="13" t="n">
        <v>46220</v>
      </c>
      <c r="AE43" s="13" t="n">
        <v>46583</v>
      </c>
      <c r="AF43" s="11" t="inlineStr">
        <is>
          <t>GV</t>
        </is>
      </c>
      <c r="AG43" s="12" t="inlineStr"/>
    </row>
    <row r="44">
      <c r="A44" s="11" t="inlineStr">
        <is>
          <t>PS-3</t>
        </is>
      </c>
      <c r="B44" s="11" t="inlineStr">
        <is>
          <t>PS - Personnel Security</t>
        </is>
      </c>
      <c r="C44" s="12" t="inlineStr">
        <is>
          <t>Personnel Screening</t>
        </is>
      </c>
      <c r="D44" s="11" t="inlineStr">
        <is>
          <t>Moderate</t>
        </is>
      </c>
      <c r="E44" s="12" t="inlineStr">
        <is>
          <t>Screen individuals before authorizing access to the system; rescreen according to defined conditions and frequency.</t>
        </is>
      </c>
      <c r="F44" s="11" t="inlineStr">
        <is>
          <t>Applicable</t>
        </is>
      </c>
      <c r="G44" s="12" t="inlineStr"/>
      <c r="H44" s="11" t="inlineStr">
        <is>
          <t>Hybrid (employees Wrenfield; contractors screened by staffing firm under contract)</t>
        </is>
      </c>
      <c r="I44" s="11" t="inlineStr">
        <is>
          <t>All workforce</t>
        </is>
      </c>
      <c r="J44" s="11" t="inlineStr">
        <is>
          <t>Denise Yamamoto (Director of People)</t>
        </is>
      </c>
      <c r="K44" s="11" t="inlineStr">
        <is>
          <t>REQ-014</t>
        </is>
      </c>
      <c r="L44" s="11" t="inlineStr">
        <is>
          <t>Implemented</t>
        </is>
      </c>
      <c r="M44" s="11" t="inlineStr">
        <is>
          <t>Implemented</t>
        </is>
      </c>
      <c r="N44" s="11">
        <f>IF(L44&lt;&gt;M44,"Yes","No")</f>
        <v/>
      </c>
      <c r="O44" s="12" t="inlineStr">
        <is>
          <t>Background checks are required before system access for all employees. Contractors are screened by Northgate under MSA §8 (attestation per placement).</t>
        </is>
      </c>
      <c r="P44" s="12" t="inlineStr">
        <is>
          <t>Screening completion before the access-grant date for a sample of new hires and contractors</t>
        </is>
      </c>
      <c r="Q44" s="11" t="inlineStr">
        <is>
          <t>EVID-043</t>
        </is>
      </c>
      <c r="R44" s="12" t="inlineStr">
        <is>
          <t>GRC-Vault:/WCP-2026/PS/EVID-043_screening-sample.pdf</t>
        </is>
      </c>
      <c r="S44" s="11" t="inlineStr">
        <is>
          <t>Operating Effectiveness</t>
        </is>
      </c>
      <c r="T44" s="11" t="inlineStr">
        <is>
          <t>Examine, Test</t>
        </is>
      </c>
      <c r="U44" s="12" t="inlineStr">
        <is>
          <t>Sampled 15 H1 new hires and contractors, comparing screening completion dates to the Okta account creation date. Expected: 15 of 15 screened before access. Actual: 15 of 15 (contractors by Northgate attestation).</t>
        </is>
      </c>
      <c r="V44" s="11" t="inlineStr">
        <is>
          <t>Satisfied</t>
        </is>
      </c>
      <c r="W44" s="12" t="inlineStr"/>
      <c r="X44" s="11" t="inlineStr"/>
      <c r="Y44" s="11" t="inlineStr"/>
      <c r="Z44" s="11" t="inlineStr"/>
      <c r="AA44" s="11" t="inlineStr"/>
      <c r="AB44" s="11" t="inlineStr">
        <is>
          <t>n/a</t>
        </is>
      </c>
      <c r="AC44" s="11" t="inlineStr"/>
      <c r="AD44" s="13" t="n">
        <v>46220</v>
      </c>
      <c r="AE44" s="13" t="n">
        <v>46583</v>
      </c>
      <c r="AF44" s="11" t="inlineStr">
        <is>
          <t>GV</t>
        </is>
      </c>
      <c r="AG44" s="12" t="inlineStr"/>
    </row>
    <row r="45">
      <c r="A45" s="11" t="inlineStr">
        <is>
          <t>PS-4</t>
        </is>
      </c>
      <c r="B45" s="11" t="inlineStr">
        <is>
          <t>PS - Personnel Security</t>
        </is>
      </c>
      <c r="C45" s="12" t="inlineStr">
        <is>
          <t>Personnel Termination</t>
        </is>
      </c>
      <c r="D45" s="11" t="inlineStr">
        <is>
          <t>Moderate</t>
        </is>
      </c>
      <c r="E45" s="12" t="inlineStr">
        <is>
          <t>Upon termination, disable system access within a defined period, terminate or revoke authenticators, conduct exit interviews as needed, retrieve organizational property, and retain access to organizational information.</t>
        </is>
      </c>
      <c r="F45" s="11" t="inlineStr">
        <is>
          <t>Applicable</t>
        </is>
      </c>
      <c r="G45" s="12" t="inlineStr"/>
      <c r="H45" s="11" t="inlineStr">
        <is>
          <t>Hybrid (HR + IT)</t>
        </is>
      </c>
      <c r="I45" s="11" t="inlineStr">
        <is>
          <t>All workforce</t>
        </is>
      </c>
      <c r="J45" s="11" t="inlineStr">
        <is>
          <t>Denise Yamamoto (Director of People)</t>
        </is>
      </c>
      <c r="K45" s="11" t="inlineStr">
        <is>
          <t>REQ-004; REQ-013</t>
        </is>
      </c>
      <c r="L45" s="11" t="inlineStr">
        <is>
          <t>Implemented</t>
        </is>
      </c>
      <c r="M45" s="11" t="inlineStr">
        <is>
          <t>Partially Implemented</t>
        </is>
      </c>
      <c r="N45" s="11">
        <f>IF(L45&lt;&gt;M45,"Yes","No")</f>
        <v/>
      </c>
      <c r="O45" s="12" t="inlineStr">
        <is>
          <t>HR processes terminations in PeopleHub and emails IT. Asset return is tracked by IT. Access removal depends on IT creating a ticket (see AC-2(3)).</t>
        </is>
      </c>
      <c r="P45" s="12" t="inlineStr">
        <is>
          <t>Termination population; access removal timing; asset-return records</t>
        </is>
      </c>
      <c r="Q45" s="11" t="inlineStr">
        <is>
          <t>EVID-003; EVID-004; EVID-061</t>
        </is>
      </c>
      <c r="R45" s="12" t="inlineStr">
        <is>
          <t>evidence/AC/EVID-003_peoplehub-terminations-2026H1.csv; evidence/AC/EVID-004_okta-deactivation-events-2026H1.csv; evidence/AC/EVID-061_terminations-and-deactivations_2026-07-01_to_09-09.csv</t>
        </is>
      </c>
      <c r="S45" s="11" t="inlineStr">
        <is>
          <t>Operating Effectiveness</t>
        </is>
      </c>
      <c r="T45" s="11" t="inlineStr">
        <is>
          <t>Examine, Test</t>
        </is>
      </c>
      <c r="U45" s="12" t="inlineStr">
        <is>
          <t>Same population as AC-2(3). Asset return: 19 of 19 laptops recovered or wiped. Access removal: 16 of 19 within 24h. The HR-to-IT handoff failed for 2 of 19 terminations (the AP team turnover and a staffing-vendor end date).</t>
        </is>
      </c>
      <c r="V45" s="11" t="inlineStr">
        <is>
          <t>Other Than Satisfied</t>
        </is>
      </c>
      <c r="W45" s="12" t="inlineStr">
        <is>
          <t>The HR-to-IT handoff is unreliable.</t>
        </is>
      </c>
      <c r="X45" s="11" t="inlineStr">
        <is>
          <t>High</t>
        </is>
      </c>
      <c r="Y45" s="11" t="inlineStr">
        <is>
          <t>RISK-002</t>
        </is>
      </c>
      <c r="Z45" s="11" t="inlineStr">
        <is>
          <t>FIND-001</t>
        </is>
      </c>
      <c r="AA45" s="11" t="inlineStr">
        <is>
          <t>POAM-001</t>
        </is>
      </c>
      <c r="AB45" s="11" t="inlineStr">
        <is>
          <t>POAM-001: Closed</t>
        </is>
      </c>
      <c r="AC45" s="11" t="inlineStr"/>
      <c r="AD45" s="13" t="n">
        <v>46275</v>
      </c>
      <c r="AE45" s="13" t="n">
        <v>46583</v>
      </c>
      <c r="AF45" s="11" t="inlineStr">
        <is>
          <t>GV</t>
        </is>
      </c>
      <c r="AG45" s="12" t="inlineStr"/>
    </row>
    <row r="46">
      <c r="A46" s="11" t="inlineStr">
        <is>
          <t>PS-5</t>
        </is>
      </c>
      <c r="B46" s="11" t="inlineStr">
        <is>
          <t>PS - Personnel Security</t>
        </is>
      </c>
      <c r="C46" s="12" t="inlineStr">
        <is>
          <t>Personnel Transfer</t>
        </is>
      </c>
      <c r="D46" s="11" t="inlineStr">
        <is>
          <t>Moderate</t>
        </is>
      </c>
      <c r="E46" s="12" t="inlineStr">
        <is>
          <t>Review and confirm the ongoing operational need for current access when individuals are reassigned or transferred; initiate defined transfer actions within a defined period.</t>
        </is>
      </c>
      <c r="F46" s="11" t="inlineStr">
        <is>
          <t>Applicable</t>
        </is>
      </c>
      <c r="G46" s="12" t="inlineStr"/>
      <c r="H46" s="11" t="inlineStr">
        <is>
          <t>Hybrid (HR + IT)</t>
        </is>
      </c>
      <c r="I46" s="11" t="inlineStr">
        <is>
          <t>All workforce</t>
        </is>
      </c>
      <c r="J46" s="11" t="inlineStr">
        <is>
          <t>Denise Yamamoto (Director of People)</t>
        </is>
      </c>
      <c r="K46" s="11" t="inlineStr">
        <is>
          <t>REQ-014</t>
        </is>
      </c>
      <c r="L46" s="11" t="inlineStr">
        <is>
          <t>Implemented</t>
        </is>
      </c>
      <c r="M46" s="11" t="inlineStr">
        <is>
          <t>Partially Implemented</t>
        </is>
      </c>
      <c r="N46" s="11">
        <f>IF(L46&lt;&gt;M46,"Yes","No")</f>
        <v/>
      </c>
      <c r="O46" s="12" t="inlineStr">
        <is>
          <t>Transfers are updated in PeopleHub. New access is requested through tickets. There is no step to remove the prior role's access.</t>
        </is>
      </c>
      <c r="P46" s="12" t="inlineStr">
        <is>
          <t>Transfer population; access before and after transfer</t>
        </is>
      </c>
      <c r="Q46" s="11" t="inlineStr">
        <is>
          <t>EVID-044</t>
        </is>
      </c>
      <c r="R46" s="12" t="inlineStr">
        <is>
          <t>GRC-Vault:/WCP-2026/PS/EVID-044_transfers.csv</t>
        </is>
      </c>
      <c r="S46" s="11" t="inlineStr">
        <is>
          <t>Operating Effectiveness</t>
        </is>
      </c>
      <c r="T46" s="11" t="inlineStr">
        <is>
          <t>Examine, Test</t>
        </is>
      </c>
      <c r="U46" s="12" t="inlineStr">
        <is>
          <t>Tested all 6 H1 transfers. Expected: prior-role access removed within 5 business days of the transfer. Actual: 5 of 6 transfers had no prior-role privileged or PHI access to remove. In 1 of 6 (cfernandes), PHI support access was retained for 5 months and used after the transfer.</t>
        </is>
      </c>
      <c r="V46" s="11" t="inlineStr">
        <is>
          <t>Other Than Satisfied</t>
        </is>
      </c>
      <c r="W46" s="12" t="inlineStr">
        <is>
          <t>No access re-baselining on transfer.</t>
        </is>
      </c>
      <c r="X46" s="11" t="inlineStr">
        <is>
          <t>Moderate</t>
        </is>
      </c>
      <c r="Y46" s="11" t="inlineStr">
        <is>
          <t>RISK-004</t>
        </is>
      </c>
      <c r="Z46" s="11" t="inlineStr">
        <is>
          <t>FIND-004</t>
        </is>
      </c>
      <c r="AA46" s="11" t="inlineStr">
        <is>
          <t>POAM-004</t>
        </is>
      </c>
      <c r="AB46" s="11" t="inlineStr">
        <is>
          <t>POAM-004: In Progress</t>
        </is>
      </c>
      <c r="AC46" s="11" t="inlineStr"/>
      <c r="AD46" s="13" t="n">
        <v>46220</v>
      </c>
      <c r="AE46" s="13" t="n">
        <v>46371</v>
      </c>
      <c r="AF46" s="11" t="inlineStr">
        <is>
          <t>GV</t>
        </is>
      </c>
      <c r="AG46" s="12" t="inlineStr"/>
    </row>
    <row r="47">
      <c r="A47" s="11" t="inlineStr">
        <is>
          <t>PS-7</t>
        </is>
      </c>
      <c r="B47" s="11" t="inlineStr">
        <is>
          <t>PS - Personnel Security</t>
        </is>
      </c>
      <c r="C47" s="12" t="inlineStr">
        <is>
          <t>External Personnel Security</t>
        </is>
      </c>
      <c r="D47" s="11" t="inlineStr">
        <is>
          <t>Moderate</t>
        </is>
      </c>
      <c r="E47" s="12" t="inlineStr">
        <is>
          <t>Establish personnel security requirements for external providers; require them to comply with policies; document the requirements; require notification of transfers and terminations within a defined time; monitor compliance.</t>
        </is>
      </c>
      <c r="F47" s="11" t="inlineStr">
        <is>
          <t>Applicable</t>
        </is>
      </c>
      <c r="G47" s="12" t="inlineStr"/>
      <c r="H47" s="11" t="inlineStr">
        <is>
          <t>Hybrid</t>
        </is>
      </c>
      <c r="I47" s="11" t="inlineStr">
        <is>
          <t>Contractors (Northgate), vendor personnel (Ironpeak)</t>
        </is>
      </c>
      <c r="J47" s="11" t="inlineStr">
        <is>
          <t>Sofia Ricci (Engineering Manager, contractor sponsor)</t>
        </is>
      </c>
      <c r="K47" s="11" t="inlineStr">
        <is>
          <t>REQ-004; REQ-008; REQ-013</t>
        </is>
      </c>
      <c r="L47" s="11" t="inlineStr">
        <is>
          <t>Implemented</t>
        </is>
      </c>
      <c r="M47" s="11" t="inlineStr">
        <is>
          <t>Partially Implemented</t>
        </is>
      </c>
      <c r="N47" s="11">
        <f>IF(L47&lt;&gt;M47,"Yes","No")</f>
        <v/>
      </c>
      <c r="O47" s="12" t="inlineStr">
        <is>
          <t>The Northgate MSA requires screening and 2-business-day notice of contractor departures. Contractor end dates are entered in PeopleHub but not enforced in Okta. Contractor access is approved by the sponsor with no link to the SOW scope.</t>
        </is>
      </c>
      <c r="P47" s="12" t="inlineStr">
        <is>
          <t>Contractor roster with SOW dates; notices of departure; access vs SOW scope</t>
        </is>
      </c>
      <c r="Q47" s="11" t="inlineStr">
        <is>
          <t>EVID-045; EVID-066</t>
        </is>
      </c>
      <c r="R47" s="12" t="inlineStr">
        <is>
          <t>GRC-Vault:/WCP-2026/PS/EVID-045_contractor-sow-register.xlsx; GRC-Vault:/WCP-2026/PS/EVID-066_contractor-expiry.csv</t>
        </is>
      </c>
      <c r="S47" s="11" t="inlineStr">
        <is>
          <t>Operating Effectiveness</t>
        </is>
      </c>
      <c r="T47" s="11" t="inlineStr">
        <is>
          <t>Examine, Test</t>
        </is>
      </c>
      <c r="U47" s="12" t="inlineStr">
        <is>
          <t>Tested all 5 contractors active in H1 against SOW dates and scope. Expected: access ends at the contract end date and matches SOW scope. Actual: 1 contractor ended without de-provisioning (reported under FIND-001). 1 was active past the recorded end date with the extension undocumented (AR-EX-15). 1 had PHI production access outside the QA SOW scope (AR-EX-16).</t>
        </is>
      </c>
      <c r="V47" s="11" t="inlineStr">
        <is>
          <t>Other Than Satisfied</t>
        </is>
      </c>
      <c r="W47" s="12" t="inlineStr">
        <is>
          <t>Contractor access is not bound to the engagement term and scope.</t>
        </is>
      </c>
      <c r="X47" s="11" t="inlineStr">
        <is>
          <t>Moderate</t>
        </is>
      </c>
      <c r="Y47" s="11" t="inlineStr">
        <is>
          <t>RISK-002; RISK-004</t>
        </is>
      </c>
      <c r="Z47" s="11" t="inlineStr">
        <is>
          <t>FIND-006; FIND-001</t>
        </is>
      </c>
      <c r="AA47" s="11" t="inlineStr">
        <is>
          <t>POAM-006; POAM-001</t>
        </is>
      </c>
      <c r="AB47" s="11" t="inlineStr">
        <is>
          <t>POAM-006: Closed; POAM-001: Closed</t>
        </is>
      </c>
      <c r="AC47" s="11" t="inlineStr"/>
      <c r="AD47" s="13" t="n">
        <v>46275</v>
      </c>
      <c r="AE47" s="13" t="n">
        <v>46583</v>
      </c>
      <c r="AF47" s="11" t="inlineStr">
        <is>
          <t>GV</t>
        </is>
      </c>
      <c r="AG47" s="12" t="inlineStr"/>
    </row>
    <row r="48">
      <c r="A48" s="11" t="inlineStr">
        <is>
          <t>RA-2</t>
        </is>
      </c>
      <c r="B48" s="11" t="inlineStr">
        <is>
          <t>RA - Risk Assessment</t>
        </is>
      </c>
      <c r="C48" s="12" t="inlineStr">
        <is>
          <t>Security Categorization</t>
        </is>
      </c>
      <c r="D48" s="11" t="inlineStr">
        <is>
          <t>Moderate</t>
        </is>
      </c>
      <c r="E48" s="12" t="inlineStr">
        <is>
          <t>Categorize the system and information it processes, stores, and transmits; document results in the security plan; have the authorizing official or designee review and approve the categorization.</t>
        </is>
      </c>
      <c r="F48" s="11" t="inlineStr">
        <is>
          <t>Applicable</t>
        </is>
      </c>
      <c r="G48" s="12" t="inlineStr"/>
      <c r="H48" s="11" t="inlineStr">
        <is>
          <t>System-specific</t>
        </is>
      </c>
      <c r="I48" s="11" t="inlineStr">
        <is>
          <t>WCP-PROD</t>
        </is>
      </c>
      <c r="J48" s="11" t="inlineStr">
        <is>
          <t>Samir Haddad (CTO, system owner)</t>
        </is>
      </c>
      <c r="K48" s="11" t="inlineStr">
        <is>
          <t>REQ-001; REQ-012</t>
        </is>
      </c>
      <c r="L48" s="11" t="inlineStr">
        <is>
          <t>Implemented</t>
        </is>
      </c>
      <c r="M48" s="11" t="inlineStr">
        <is>
          <t>Implemented</t>
        </is>
      </c>
      <c r="N48" s="11">
        <f>IF(L48&lt;&gt;M48,"Yes","No")</f>
        <v/>
      </c>
      <c r="O48" s="12" t="inlineStr">
        <is>
          <t>FIPS 199 categorization worksheet (2025-06) rates WCP-PROD Moderate. It was re-validated during this engagement (system profile §4), including a challenge on integrity for RPM data, with review triggers documented.</t>
        </is>
      </c>
      <c r="P48" s="12" t="inlineStr">
        <is>
          <t>Categorization with rationale and approval</t>
        </is>
      </c>
      <c r="Q48" s="11" t="inlineStr">
        <is>
          <t>EVID-046</t>
        </is>
      </c>
      <c r="R48" s="12" t="inlineStr">
        <is>
          <t>docs/scope/system-profile.md</t>
        </is>
      </c>
      <c r="S48" s="11" t="inlineStr">
        <is>
          <t>Design</t>
        </is>
      </c>
      <c r="T48" s="11" t="inlineStr">
        <is>
          <t>Examine, Interview</t>
        </is>
      </c>
      <c r="U48" s="12" t="inlineStr">
        <is>
          <t>Expected: a documented, approved categorization consistent with the data and mission. Actual: met. The assessor independently reached the same result (Moderate) and recorded a trigger to re-categorize if real-time clinical alerting is added.</t>
        </is>
      </c>
      <c r="V48" s="11" t="inlineStr">
        <is>
          <t>Satisfied</t>
        </is>
      </c>
      <c r="W48" s="12" t="inlineStr"/>
      <c r="X48" s="11" t="inlineStr"/>
      <c r="Y48" s="11" t="inlineStr"/>
      <c r="Z48" s="11" t="inlineStr"/>
      <c r="AA48" s="11" t="inlineStr"/>
      <c r="AB48" s="11" t="inlineStr">
        <is>
          <t>n/a</t>
        </is>
      </c>
      <c r="AC48" s="11" t="inlineStr"/>
      <c r="AD48" s="13" t="n">
        <v>46220</v>
      </c>
      <c r="AE48" s="13" t="n">
        <v>46583</v>
      </c>
      <c r="AF48" s="11" t="inlineStr">
        <is>
          <t>ID</t>
        </is>
      </c>
      <c r="AG48" s="12" t="inlineStr"/>
    </row>
    <row r="49">
      <c r="A49" s="11" t="inlineStr">
        <is>
          <t>RA-3</t>
        </is>
      </c>
      <c r="B49" s="11" t="inlineStr">
        <is>
          <t>RA - Risk Assessment</t>
        </is>
      </c>
      <c r="C49" s="12" t="inlineStr">
        <is>
          <t>Risk Assessment</t>
        </is>
      </c>
      <c r="D49" s="11" t="inlineStr">
        <is>
          <t>Moderate</t>
        </is>
      </c>
      <c r="E49" s="12" t="inlineStr">
        <is>
          <t>Conduct risk assessments identifying threats, vulnerabilities, likelihood, and impact; integrate results with organization-level determinations; document, review, disseminate, and update them.</t>
        </is>
      </c>
      <c r="F49" s="11" t="inlineStr">
        <is>
          <t>Applicable</t>
        </is>
      </c>
      <c r="G49" s="12" t="inlineStr"/>
      <c r="H49" s="11" t="inlineStr">
        <is>
          <t>Common (organization-wide)</t>
        </is>
      </c>
      <c r="I49" s="11" t="inlineStr">
        <is>
          <t>WCP-PROD</t>
        </is>
      </c>
      <c r="J49" s="11" t="inlineStr">
        <is>
          <t>Priya Raman (Security Compliance Manager)</t>
        </is>
      </c>
      <c r="K49" s="11" t="inlineStr">
        <is>
          <t>REQ-012</t>
        </is>
      </c>
      <c r="L49" s="11" t="inlineStr">
        <is>
          <t>Implemented</t>
        </is>
      </c>
      <c r="M49" s="11" t="inlineStr">
        <is>
          <t>Implemented</t>
        </is>
      </c>
      <c r="N49" s="11">
        <f>IF(L49&lt;&gt;M49,"Yes","No")</f>
        <v/>
      </c>
      <c r="O49" s="12" t="inlineStr">
        <is>
          <t>Annual HIPAA risk analysis (2025-09 report) using an SP 800-30-style method. As of 2026-08, it is superseded by the enterprise risk register in this engagement (18 risks, scored with RSK-MTH-001).</t>
        </is>
      </c>
      <c r="P49" s="12" t="inlineStr">
        <is>
          <t>Current risk assessment; methodology; evidence of update and dissemination</t>
        </is>
      </c>
      <c r="Q49" s="11" t="inlineStr">
        <is>
          <t>EVID-047</t>
        </is>
      </c>
      <c r="R49" s="12" t="inlineStr">
        <is>
          <t>GRC-Vault:/WCP-2026/RA/EVID-047_risk-analysis-2025.pdf</t>
        </is>
      </c>
      <c r="S49" s="11" t="inlineStr">
        <is>
          <t>Design</t>
        </is>
      </c>
      <c r="T49" s="11" t="inlineStr">
        <is>
          <t>Examine</t>
        </is>
      </c>
      <c r="U49" s="12" t="inlineStr">
        <is>
          <t>Expected: a risk assessment within 12 months covering threats, vulnerabilities, likelihood, and impact. Actual: 2025-09 analysis present and adequate. It did not identify the vendor offshore-access or retention gaps; the new register adds them.</t>
        </is>
      </c>
      <c r="V49" s="11" t="inlineStr">
        <is>
          <t>Satisfied</t>
        </is>
      </c>
      <c r="W49" s="12" t="inlineStr"/>
      <c r="X49" s="11" t="inlineStr"/>
      <c r="Y49" s="11" t="inlineStr"/>
      <c r="Z49" s="11" t="inlineStr"/>
      <c r="AA49" s="11" t="inlineStr"/>
      <c r="AB49" s="11" t="inlineStr">
        <is>
          <t>n/a</t>
        </is>
      </c>
      <c r="AC49" s="11" t="inlineStr"/>
      <c r="AD49" s="13" t="n">
        <v>46220</v>
      </c>
      <c r="AE49" s="13" t="n">
        <v>46583</v>
      </c>
      <c r="AF49" s="11" t="inlineStr">
        <is>
          <t>ID</t>
        </is>
      </c>
      <c r="AG49" s="12" t="inlineStr"/>
    </row>
    <row r="50">
      <c r="A50" s="11" t="inlineStr">
        <is>
          <t>RA-5</t>
        </is>
      </c>
      <c r="B50" s="11" t="inlineStr">
        <is>
          <t>RA - Risk Assessment</t>
        </is>
      </c>
      <c r="C50" s="12" t="inlineStr">
        <is>
          <t>Vulnerability Monitoring and Scanning</t>
        </is>
      </c>
      <c r="D50" s="11" t="inlineStr">
        <is>
          <t>Moderate</t>
        </is>
      </c>
      <c r="E50" s="12" t="inlineStr">
        <is>
          <t>Monitor and scan for vulnerabilities at a defined frequency and when new vulnerabilities are reported; use interoperable tools; analyze reports; remediate per risk; share information; use tools that can update the vulnerabilities scanned.</t>
        </is>
      </c>
      <c r="F50" s="11" t="inlineStr">
        <is>
          <t>Applicable</t>
        </is>
      </c>
      <c r="G50" s="12" t="inlineStr"/>
      <c r="H50" s="11" t="inlineStr">
        <is>
          <t>System-specific</t>
        </is>
      </c>
      <c r="I50" s="11" t="inlineStr">
        <is>
          <t>SYS-01, SYS-05</t>
        </is>
      </c>
      <c r="J50" s="11" t="inlineStr">
        <is>
          <t>Owen Castillo (Security Engineer)</t>
        </is>
      </c>
      <c r="K50" s="11" t="inlineStr">
        <is>
          <t>REQ-009</t>
        </is>
      </c>
      <c r="L50" s="11" t="inlineStr">
        <is>
          <t>Implemented</t>
        </is>
      </c>
      <c r="M50" s="11" t="inlineStr">
        <is>
          <t>Implemented</t>
        </is>
      </c>
      <c r="N50" s="11">
        <f>IF(L50&lt;&gt;M50,"Yes","No")</f>
        <v/>
      </c>
      <c r="O50" s="12" t="inlineStr">
        <is>
          <t>Weekly authenticated scanning of EC2 and EKS nodes (agent-based), container image scanning in CI and in the registry, and a weekly external scan of internet-facing endpoints. Scan scope is driven by owner tags.</t>
        </is>
      </c>
      <c r="P50" s="12" t="inlineStr">
        <is>
          <t>Scan configuration and coverage; scan history; findings export</t>
        </is>
      </c>
      <c r="Q50" s="11" t="inlineStr">
        <is>
          <t>EVID-048; EVID-031</t>
        </is>
      </c>
      <c r="R50" s="12" t="inlineStr">
        <is>
          <t>evidence/RA/EVID-048_vuln-remediation-aging-2026H1.csv; GRC-Vault:/WCP-2026/CM/EVID-031_inventory.zip</t>
        </is>
      </c>
      <c r="S50" s="11" t="inlineStr">
        <is>
          <t>Operating Effectiveness</t>
        </is>
      </c>
      <c r="T50" s="11" t="inlineStr">
        <is>
          <t>Examine, Test</t>
        </is>
      </c>
      <c r="U50" s="12" t="inlineStr">
        <is>
          <t>Compared scan coverage to the CM-8 inventory. Expected: all production assets scanned weekly. Actual: 100% of tagged assets scanned. Untagged resources (7%) were caught by the external and registry scans but missed by host scans for 1–3 weeks (OBS-02). Remediation timeliness is assessed under SI-2.</t>
        </is>
      </c>
      <c r="V50" s="11" t="inlineStr">
        <is>
          <t>Satisfied</t>
        </is>
      </c>
      <c r="W50" s="12" t="inlineStr">
        <is>
          <t>Tag-driven scoping leaves a coverage lag for untagged resources (observation).</t>
        </is>
      </c>
      <c r="X50" s="11" t="inlineStr">
        <is>
          <t>Low</t>
        </is>
      </c>
      <c r="Y50" s="11" t="inlineStr">
        <is>
          <t>RISK-006</t>
        </is>
      </c>
      <c r="Z50" s="11" t="inlineStr"/>
      <c r="AA50" s="11" t="inlineStr"/>
      <c r="AB50" s="11" t="inlineStr">
        <is>
          <t>n/a</t>
        </is>
      </c>
      <c r="AC50" s="11" t="inlineStr">
        <is>
          <t>OBS-02</t>
        </is>
      </c>
      <c r="AD50" s="13" t="n">
        <v>46220</v>
      </c>
      <c r="AE50" s="13" t="n">
        <v>46583</v>
      </c>
      <c r="AF50" s="11" t="inlineStr">
        <is>
          <t>ID</t>
        </is>
      </c>
      <c r="AG50" s="12" t="inlineStr"/>
    </row>
    <row r="51">
      <c r="A51" s="11" t="inlineStr">
        <is>
          <t>RA-7</t>
        </is>
      </c>
      <c r="B51" s="11" t="inlineStr">
        <is>
          <t>RA - Risk Assessment</t>
        </is>
      </c>
      <c r="C51" s="12" t="inlineStr">
        <is>
          <t>Risk Response</t>
        </is>
      </c>
      <c r="D51" s="11" t="inlineStr">
        <is>
          <t>Moderate</t>
        </is>
      </c>
      <c r="E51" s="12" t="inlineStr">
        <is>
          <t>Respond to findings from security and privacy assessments, monitoring, and audits in accordance with organizational risk tolerance.</t>
        </is>
      </c>
      <c r="F51" s="11" t="inlineStr">
        <is>
          <t>Applicable</t>
        </is>
      </c>
      <c r="G51" s="12" t="inlineStr"/>
      <c r="H51" s="11" t="inlineStr">
        <is>
          <t>Common (organization-wide)</t>
        </is>
      </c>
      <c r="I51" s="11" t="inlineStr">
        <is>
          <t>WCP-PROD</t>
        </is>
      </c>
      <c r="J51" s="11" t="inlineStr">
        <is>
          <t>Alicia Moreno (CISO)</t>
        </is>
      </c>
      <c r="K51" s="11" t="inlineStr">
        <is>
          <t>REQ-012; REQ-024</t>
        </is>
      </c>
      <c r="L51" s="11" t="inlineStr">
        <is>
          <t>Implemented</t>
        </is>
      </c>
      <c r="M51" s="11" t="inlineStr">
        <is>
          <t>Implemented</t>
        </is>
      </c>
      <c r="N51" s="11">
        <f>IF(L51&lt;&gt;M51,"Yes","No")</f>
        <v/>
      </c>
      <c r="O51" s="12" t="inlineStr">
        <is>
          <t>Findings receive a treatment decision (mitigate, accept, transfer, or avoid) per RSK-MTH-001, with acceptance authority by rating. Decisions are recorded in the risk register and the POA&amp;M. Formal acceptances use RACC forms.</t>
        </is>
      </c>
      <c r="P51" s="12" t="inlineStr">
        <is>
          <t>Treatment decisions for findings; acceptance records signed by the correct authority</t>
        </is>
      </c>
      <c r="Q51" s="11" t="inlineStr">
        <is>
          <t>EVID-027; EVID-060</t>
        </is>
      </c>
      <c r="R51" s="12" t="inlineStr">
        <is>
          <t>GRC-Vault:/WCP-2026/CA/EVID-027_secissue-export.csv; risk/risk-acceptance/RACC-001.md</t>
        </is>
      </c>
      <c r="S51" s="11" t="inlineStr">
        <is>
          <t>Implementation</t>
        </is>
      </c>
      <c r="T51" s="11" t="inlineStr">
        <is>
          <t>Examine</t>
        </is>
      </c>
      <c r="U51" s="12" t="inlineStr">
        <is>
          <t>Expected: every finding has a treatment consistent with appetite, and acceptances are signed at the right level. Actual: 19 of 19 findings have treatments. The 1 acceptance (RACC-001, Moderate) was signed by the CFO as risk owner with CISO concurrence, as the matrix requires.</t>
        </is>
      </c>
      <c r="V51" s="11" t="inlineStr">
        <is>
          <t>Satisfied</t>
        </is>
      </c>
      <c r="W51" s="12" t="inlineStr"/>
      <c r="X51" s="11" t="inlineStr"/>
      <c r="Y51" s="11" t="inlineStr"/>
      <c r="Z51" s="11" t="inlineStr"/>
      <c r="AA51" s="11" t="inlineStr"/>
      <c r="AB51" s="11" t="inlineStr">
        <is>
          <t>n/a</t>
        </is>
      </c>
      <c r="AC51" s="11" t="inlineStr"/>
      <c r="AD51" s="13" t="n">
        <v>46220</v>
      </c>
      <c r="AE51" s="13" t="n">
        <v>46583</v>
      </c>
      <c r="AF51" s="11" t="inlineStr">
        <is>
          <t>GV</t>
        </is>
      </c>
      <c r="AG51" s="12" t="inlineStr"/>
    </row>
    <row r="52">
      <c r="A52" s="11" t="inlineStr">
        <is>
          <t>SA-9</t>
        </is>
      </c>
      <c r="B52" s="11" t="inlineStr">
        <is>
          <t>SA - System and Services Acquisition</t>
        </is>
      </c>
      <c r="C52" s="12" t="inlineStr">
        <is>
          <t>External System Services</t>
        </is>
      </c>
      <c r="D52" s="11" t="inlineStr">
        <is>
          <t>Moderate</t>
        </is>
      </c>
      <c r="E52" s="12" t="inlineStr">
        <is>
          <t>Require external service providers to comply with organizational security and privacy requirements and employ defined controls; define oversight roles and responsibilities; monitor provider compliance on an ongoing basis.</t>
        </is>
      </c>
      <c r="F52" s="11" t="inlineStr">
        <is>
          <t>Applicable</t>
        </is>
      </c>
      <c r="G52" s="12" t="inlineStr"/>
      <c r="H52" s="11" t="inlineStr">
        <is>
          <t>Common (vendor-management program)</t>
        </is>
      </c>
      <c r="I52" s="11" t="inlineStr">
        <is>
          <t>Vendors (14 Tier 1–2)</t>
        </is>
      </c>
      <c r="J52" s="11" t="inlineStr">
        <is>
          <t>Beth Kowalski (Vendor Management Lead)</t>
        </is>
      </c>
      <c r="K52" s="11" t="inlineStr">
        <is>
          <t>REQ-007; REQ-008; REQ-018</t>
        </is>
      </c>
      <c r="L52" s="11" t="inlineStr">
        <is>
          <t>Implemented</t>
        </is>
      </c>
      <c r="M52" s="11" t="inlineStr">
        <is>
          <t>Partially Implemented</t>
        </is>
      </c>
      <c r="N52" s="11">
        <f>IF(L52&lt;&gt;M52,"Yes","No")</f>
        <v/>
      </c>
      <c r="O52" s="12" t="inlineStr">
        <is>
          <t>The Third-Party Risk Management Standard TPRM-007 requires tiering, due diligence before contract, security terms (BAA, notification, data return), and reassessment (Tier 1 annually, Tier 2 every 2 years). Standard contract templates were updated in 2025 but not applied to older contracts.</t>
        </is>
      </c>
      <c r="P52" s="12" t="inlineStr">
        <is>
          <t>Vendor inventory with tiers; assessment records; contract security terms for Tier 1–2 vendors</t>
        </is>
      </c>
      <c r="Q52" s="11" t="inlineStr">
        <is>
          <t>EVID-049; EVID-026; EVID-050; EVID-051; EVID-073</t>
        </is>
      </c>
      <c r="R52" s="12" t="inlineStr">
        <is>
          <t>vendor-risk/vendor-assessment.xlsx; GRC-Vault:/WCP-2026/CA/EVID-026_interconnection-agreements.zip; evidence/SR/EVID-050_quarrystone-soc2-review-workpaper.md; GRC-Vault:/WCP-2026/SR/EVID-051_pending; GRC-Vault:/WCP-2026/SR/EVID-073_quarrystone-amendment-v3.pdf</t>
        </is>
      </c>
      <c r="S52" s="11" t="inlineStr">
        <is>
          <t>Operating Effectiveness</t>
        </is>
      </c>
      <c r="T52" s="11" t="inlineStr">
        <is>
          <t>Examine, Interview, Test</t>
        </is>
      </c>
      <c r="U52" s="12" t="inlineStr">
        <is>
          <t>Tested all 14 Tier 1–2 vendors for a current assessment and adequate contract terms, plus a deep assessment of Quarrystone. Expected: 14 of 14 current, with notification and data-return terms. Actual: 9 of 14 current. Quarrystone's terms allow 30-day breach notice, include no US-only restriction, and do not define data return. Offshore subcontractor access to PHI was confirmed.</t>
        </is>
      </c>
      <c r="V52" s="11" t="inlineStr">
        <is>
          <t>Other Than Satisfied</t>
        </is>
      </c>
      <c r="W52" s="12" t="inlineStr">
        <is>
          <t>Provider oversight is not operating consistently; the highest-risk vendor has material contractual and access gaps.</t>
        </is>
      </c>
      <c r="X52" s="11" t="inlineStr">
        <is>
          <t>High</t>
        </is>
      </c>
      <c r="Y52" s="11" t="inlineStr">
        <is>
          <t>RISK-010; RISK-011</t>
        </is>
      </c>
      <c r="Z52" s="11" t="inlineStr">
        <is>
          <t>FIND-015; FIND-016</t>
        </is>
      </c>
      <c r="AA52" s="11" t="inlineStr">
        <is>
          <t>POAM-015; POAM-016</t>
        </is>
      </c>
      <c r="AB52" s="11" t="inlineStr">
        <is>
          <t>POAM-015: In Progress; POAM-016: In Progress</t>
        </is>
      </c>
      <c r="AC52" s="11" t="inlineStr"/>
      <c r="AD52" s="13" t="n">
        <v>46220</v>
      </c>
      <c r="AE52" s="13" t="n">
        <v>46398</v>
      </c>
      <c r="AF52" s="11" t="inlineStr">
        <is>
          <t>GV</t>
        </is>
      </c>
      <c r="AG52" s="12" t="inlineStr"/>
    </row>
    <row r="53">
      <c r="A53" s="11" t="inlineStr">
        <is>
          <t>SA-22</t>
        </is>
      </c>
      <c r="B53" s="11" t="inlineStr">
        <is>
          <t>SA - System and Services Acquisition</t>
        </is>
      </c>
      <c r="C53" s="12" t="inlineStr">
        <is>
          <t>Unsupported System Components</t>
        </is>
      </c>
      <c r="D53" s="11" t="inlineStr">
        <is>
          <t>Moderate</t>
        </is>
      </c>
      <c r="E53" s="12" t="inlineStr">
        <is>
          <t>Replace system components when support is no longer available from the developer, vendor, or manufacturer; or provide options for alternative sources of continued support.</t>
        </is>
      </c>
      <c r="F53" s="11" t="inlineStr">
        <is>
          <t>Applicable</t>
        </is>
      </c>
      <c r="G53" s="12" t="inlineStr"/>
      <c r="H53" s="11" t="inlineStr">
        <is>
          <t>System-specific</t>
        </is>
      </c>
      <c r="I53" s="11" t="inlineStr">
        <is>
          <t>SYS-05, legacy-reports, notify-worker</t>
        </is>
      </c>
      <c r="J53" s="11" t="inlineStr">
        <is>
          <t>Tomasz Wierzbicki (Director, Platform Engineering)</t>
        </is>
      </c>
      <c r="K53" s="11" t="inlineStr">
        <is>
          <t>REQ-010</t>
        </is>
      </c>
      <c r="L53" s="11" t="inlineStr">
        <is>
          <t>Partially Implemented</t>
        </is>
      </c>
      <c r="M53" s="11" t="inlineStr">
        <is>
          <t>Partially Implemented</t>
        </is>
      </c>
      <c r="N53" s="11">
        <f>IF(L53&lt;&gt;M53,"Yes","No")</f>
        <v/>
      </c>
      <c r="O53" s="12" t="inlineStr">
        <is>
          <t>Most components are current. Three are unsupported: wf-sftp-01 (Windows Server 2012 R2; extended support ended 2023-10-10; no ESU enrollment), legacy-reports (PostgreSQL 11; community support ended 2023-11-09), and the notify-worker container (Node.js 16; end of life 2023-09-11). Compensating controls on wf-sftp-01 are EDR, an SFTP source allowlist, and weekly scanning.</t>
        </is>
      </c>
      <c r="P53" s="12" t="inlineStr">
        <is>
          <t>Software inventory with support status; replacement plans; compensating-control documentation</t>
        </is>
      </c>
      <c r="Q53" s="11" t="inlineStr">
        <is>
          <t>EVID-052; EVID-048</t>
        </is>
      </c>
      <c r="R53" s="12" t="inlineStr">
        <is>
          <t>GRC-Vault:/WCP-2026/SA/EVID-052_eol-inventory.csv; evidence/RA/EVID-048_vuln-remediation-aging-2026H1.csv</t>
        </is>
      </c>
      <c r="S53" s="11" t="inlineStr">
        <is>
          <t>Implementation</t>
        </is>
      </c>
      <c r="T53" s="11" t="inlineStr">
        <is>
          <t>Examine, Test</t>
        </is>
      </c>
      <c r="U53" s="12" t="inlineStr">
        <is>
          <t>Compared the OS, database, and runtime inventory to vendor lifecycle dates. Expected: 0 unsupported components, or SHCA-approved compensating controls. Actual: 3 unsupported components, 2 of them handling PHI. They account for 4 of the 6 open past-SLA vulnerabilities. No SHCA-approved exception exists (CSA §7.4).</t>
        </is>
      </c>
      <c r="V53" s="11" t="inlineStr">
        <is>
          <t>Other Than Satisfied</t>
        </is>
      </c>
      <c r="W53" s="12" t="inlineStr">
        <is>
          <t>Unsupported components in the PHI data path.</t>
        </is>
      </c>
      <c r="X53" s="11" t="inlineStr">
        <is>
          <t>High</t>
        </is>
      </c>
      <c r="Y53" s="11" t="inlineStr">
        <is>
          <t>RISK-007</t>
        </is>
      </c>
      <c r="Z53" s="11" t="inlineStr">
        <is>
          <t>FIND-011</t>
        </is>
      </c>
      <c r="AA53" s="11" t="inlineStr">
        <is>
          <t>POAM-011</t>
        </is>
      </c>
      <c r="AB53" s="11" t="inlineStr">
        <is>
          <t>POAM-011: Delayed</t>
        </is>
      </c>
      <c r="AC53" s="11" t="inlineStr"/>
      <c r="AD53" s="13" t="n">
        <v>46220</v>
      </c>
      <c r="AE53" s="13" t="n">
        <v>46356</v>
      </c>
      <c r="AF53" s="11" t="inlineStr">
        <is>
          <t>PR</t>
        </is>
      </c>
      <c r="AG53" s="12" t="inlineStr"/>
    </row>
    <row r="54">
      <c r="A54" s="11" t="inlineStr">
        <is>
          <t>SC-7</t>
        </is>
      </c>
      <c r="B54" s="11" t="inlineStr">
        <is>
          <t>SC - System and Communications Protection</t>
        </is>
      </c>
      <c r="C54" s="12" t="inlineStr">
        <is>
          <t>Boundary Protection</t>
        </is>
      </c>
      <c r="D54" s="11" t="inlineStr">
        <is>
          <t>Moderate</t>
        </is>
      </c>
      <c r="E54" s="12" t="inlineStr">
        <is>
          <t>Monitor and control communications at the external and key internal boundaries; implement subnetworks for publicly accessible components; connect to external networks only through managed interfaces.</t>
        </is>
      </c>
      <c r="F54" s="11" t="inlineStr">
        <is>
          <t>Applicable</t>
        </is>
      </c>
      <c r="G54" s="12" t="inlineStr"/>
      <c r="H54" s="11" t="inlineStr">
        <is>
          <t>System-specific</t>
        </is>
      </c>
      <c r="I54" s="11" t="inlineStr">
        <is>
          <t>SYS-01, SYS-05</t>
        </is>
      </c>
      <c r="J54" s="11" t="inlineStr">
        <is>
          <t>Tomasz Wierzbicki (Director, Platform Engineering)</t>
        </is>
      </c>
      <c r="K54" s="11" t="inlineStr">
        <is>
          <t>REQ-001; REQ-021</t>
        </is>
      </c>
      <c r="L54" s="11" t="inlineStr">
        <is>
          <t>Implemented</t>
        </is>
      </c>
      <c r="M54" s="11" t="inlineStr">
        <is>
          <t>Partially Implemented</t>
        </is>
      </c>
      <c r="N54" s="11">
        <f>IF(L54&lt;&gt;M54,"Yes","No")</f>
        <v/>
      </c>
      <c r="O54" s="12" t="inlineStr">
        <is>
          <t>Public traffic enters through CloudFront and WAF to internal ALBs. Workloads sit in private subnets with VPC endpoints for AWS services. There is an egress allowlist for EKS. wf-sftp-01 sits in a public subnet with an SFTP (22) allowlist of 6 partner CIDRs.</t>
        </is>
      </c>
      <c r="P54" s="12" t="inlineStr">
        <is>
          <t>Network architecture; security group and NACL exports; exposure scans</t>
        </is>
      </c>
      <c r="Q54" s="11" t="inlineStr">
        <is>
          <t>EVID-053; EVID-028; EVID-068</t>
        </is>
      </c>
      <c r="R54" s="12" t="inlineStr">
        <is>
          <t>evidence/CM/EVID-053_wf-sftp-01-security-group_2026-07-02.json; GRC-Vault:/WCP-2026/CM/EVID-028_securityhub.csv; GRC-Vault:/WCP-2026/SC/EVID-068_sg-fix.zip</t>
        </is>
      </c>
      <c r="S54" s="11" t="inlineStr">
        <is>
          <t>Implementation</t>
        </is>
      </c>
      <c r="T54" s="11" t="inlineStr">
        <is>
          <t>Examine, Test</t>
        </is>
      </c>
      <c r="U54" s="12" t="inlineStr">
        <is>
          <t>Enumerated all security groups with 0.0.0.0/0 ingress. Expected: only CloudFront/ALB listeners on 443. Actual: wf-sftp-01 allowed TCP 3389 (RDP) from 0.0.0.0/0, added under emergency change CHG-2026-0412 on 2026-05-19 and never reverted (43 days exposed at discovery). No evidence of successful RDP logons from external addresses (reviewed Windows Security log 4624 type 10 for the period). Fixed within 24h of discovery; validated 2026-07-10.</t>
        </is>
      </c>
      <c r="V54" s="11" t="inlineStr">
        <is>
          <t>Other Than Satisfied</t>
        </is>
      </c>
      <c r="W54" s="12" t="inlineStr">
        <is>
          <t>Internet-exposed administrative service on an unsupported host.</t>
        </is>
      </c>
      <c r="X54" s="11" t="inlineStr">
        <is>
          <t>High</t>
        </is>
      </c>
      <c r="Y54" s="11" t="inlineStr">
        <is>
          <t>RISK-012; RISK-007</t>
        </is>
      </c>
      <c r="Z54" s="11" t="inlineStr">
        <is>
          <t>FIND-012</t>
        </is>
      </c>
      <c r="AA54" s="11" t="inlineStr">
        <is>
          <t>POAM-012</t>
        </is>
      </c>
      <c r="AB54" s="11" t="inlineStr">
        <is>
          <t>POAM-012: Closed</t>
        </is>
      </c>
      <c r="AC54" s="11" t="inlineStr"/>
      <c r="AD54" s="13" t="n">
        <v>46213</v>
      </c>
      <c r="AE54" s="13" t="n">
        <v>46583</v>
      </c>
      <c r="AF54" s="11" t="inlineStr">
        <is>
          <t>PR</t>
        </is>
      </c>
      <c r="AG54" s="12" t="inlineStr"/>
    </row>
    <row r="55">
      <c r="A55" s="11" t="inlineStr">
        <is>
          <t>SC-8</t>
        </is>
      </c>
      <c r="B55" s="11" t="inlineStr">
        <is>
          <t>SC - System and Communications Protection</t>
        </is>
      </c>
      <c r="C55" s="12" t="inlineStr">
        <is>
          <t>Transmission Confidentiality and Integrity</t>
        </is>
      </c>
      <c r="D55" s="11" t="inlineStr">
        <is>
          <t>Moderate</t>
        </is>
      </c>
      <c r="E55" s="12" t="inlineStr">
        <is>
          <t>Protect the confidentiality and integrity of transmitted information.</t>
        </is>
      </c>
      <c r="F55" s="11" t="inlineStr">
        <is>
          <t>Applicable</t>
        </is>
      </c>
      <c r="G55" s="12" t="inlineStr"/>
      <c r="H55" s="11" t="inlineStr">
        <is>
          <t>System-specific</t>
        </is>
      </c>
      <c r="I55" s="11" t="inlineStr">
        <is>
          <t>SYS-01, SYS-04, SYS-05</t>
        </is>
      </c>
      <c r="J55" s="11" t="inlineStr">
        <is>
          <t>Tomasz Wierzbicki (Director, Platform Engineering)</t>
        </is>
      </c>
      <c r="K55" s="11" t="inlineStr">
        <is>
          <t>REQ-021</t>
        </is>
      </c>
      <c r="L55" s="11" t="inlineStr">
        <is>
          <t>Implemented</t>
        </is>
      </c>
      <c r="M55" s="11" t="inlineStr">
        <is>
          <t>Implemented</t>
        </is>
      </c>
      <c r="N55" s="11">
        <f>IF(L55&lt;&gt;M55,"Yes","No")</f>
        <v/>
      </c>
      <c r="O55" s="12" t="inlineStr">
        <is>
          <t>TLS 1.2+ only (the CloudFront and ALB security policies disable TLS 1.0/1.1). The database enforces SSL (rds.force_ssl=1). SFTP to partners uses SSH. HL7/FHIR interfaces run over TLS or VPN.</t>
        </is>
      </c>
      <c r="P55" s="12" t="inlineStr">
        <is>
          <t>TLS policies; database SSL enforcement; external TLS scan</t>
        </is>
      </c>
      <c r="Q55" s="11" t="inlineStr">
        <is>
          <t>EVID-054</t>
        </is>
      </c>
      <c r="R55" s="12" t="inlineStr">
        <is>
          <t>GRC-Vault:/WCP-2026/SC/EVID-054_tls.zip</t>
        </is>
      </c>
      <c r="S55" s="11" t="inlineStr">
        <is>
          <t>Implementation</t>
        </is>
      </c>
      <c r="T55" s="11" t="inlineStr">
        <is>
          <t>Examine, Test</t>
        </is>
      </c>
      <c r="U55" s="12" t="inlineStr">
        <is>
          <t>Scanned the 4 public endpoints with a TLS scanner (TLS 1.2/1.3 only, no weak ciphers) and confirmed rds.force_ssl=1 in the parameter group. Expected: encryption for all PHI in transit. Actual: met.</t>
        </is>
      </c>
      <c r="V55" s="11" t="inlineStr">
        <is>
          <t>Satisfied</t>
        </is>
      </c>
      <c r="W55" s="12" t="inlineStr"/>
      <c r="X55" s="11" t="inlineStr"/>
      <c r="Y55" s="11" t="inlineStr"/>
      <c r="Z55" s="11" t="inlineStr"/>
      <c r="AA55" s="11" t="inlineStr"/>
      <c r="AB55" s="11" t="inlineStr">
        <is>
          <t>n/a</t>
        </is>
      </c>
      <c r="AC55" s="11" t="inlineStr"/>
      <c r="AD55" s="13" t="n">
        <v>46220</v>
      </c>
      <c r="AE55" s="13" t="n">
        <v>46583</v>
      </c>
      <c r="AF55" s="11" t="inlineStr">
        <is>
          <t>PR</t>
        </is>
      </c>
      <c r="AG55" s="12" t="inlineStr"/>
    </row>
    <row r="56">
      <c r="A56" s="11" t="inlineStr">
        <is>
          <t>SC-12</t>
        </is>
      </c>
      <c r="B56" s="11" t="inlineStr">
        <is>
          <t>SC - System and Communications Protection</t>
        </is>
      </c>
      <c r="C56" s="12" t="inlineStr">
        <is>
          <t>Cryptographic Key Establishment and Management</t>
        </is>
      </c>
      <c r="D56" s="11" t="inlineStr">
        <is>
          <t>Moderate</t>
        </is>
      </c>
      <c r="E56" s="12" t="inlineStr">
        <is>
          <t>Establish and manage cryptographic keys when cryptography is employed, per defined requirements for key generation, distribution, storage, access, and destruction.</t>
        </is>
      </c>
      <c r="F56" s="11" t="inlineStr">
        <is>
          <t>Applicable</t>
        </is>
      </c>
      <c r="G56" s="12" t="inlineStr"/>
      <c r="H56" s="11" t="inlineStr">
        <is>
          <t>Hybrid (cloud key-management service; Wrenfield key policies)</t>
        </is>
      </c>
      <c r="I56" s="11" t="inlineStr">
        <is>
          <t>SYS-01, SYS-04</t>
        </is>
      </c>
      <c r="J56" s="11" t="inlineStr">
        <is>
          <t>Tomasz Wierzbicki (Director, Platform Engineering)</t>
        </is>
      </c>
      <c r="K56" s="11" t="inlineStr">
        <is>
          <t>REQ-021</t>
        </is>
      </c>
      <c r="L56" s="11" t="inlineStr">
        <is>
          <t>Implemented</t>
        </is>
      </c>
      <c r="M56" s="11" t="inlineStr">
        <is>
          <t>Implemented</t>
        </is>
      </c>
      <c r="N56" s="11">
        <f>IF(L56&lt;&gt;M56,"Yes","No")</f>
        <v/>
      </c>
      <c r="O56" s="12" t="inlineStr">
        <is>
          <t>Customer-managed KMS keys for Aurora, S3 PHI buckets, EBS, and backups, with annual automatic rotation enabled. Key policies separate key administrators (SRE) from key users (service roles). No key material leaves KMS.</t>
        </is>
      </c>
      <c r="P56" s="12" t="inlineStr">
        <is>
          <t>Key inventory; rotation settings; key policies</t>
        </is>
      </c>
      <c r="Q56" s="11" t="inlineStr">
        <is>
          <t>EVID-055</t>
        </is>
      </c>
      <c r="R56" s="12" t="inlineStr">
        <is>
          <t>GRC-Vault:/WCP-2026/SC/EVID-055_kms.json</t>
        </is>
      </c>
      <c r="S56" s="11" t="inlineStr">
        <is>
          <t>Implementation</t>
        </is>
      </c>
      <c r="T56" s="11" t="inlineStr">
        <is>
          <t>Examine</t>
        </is>
      </c>
      <c r="U56" s="12" t="inlineStr">
        <is>
          <t>Examined 9 customer-managed keys. Expected: rotation enabled and separation of admin and usage duties. Actual: 9 of 9 with rotation enabled; key policies separate administration from use.</t>
        </is>
      </c>
      <c r="V56" s="11" t="inlineStr">
        <is>
          <t>Satisfied</t>
        </is>
      </c>
      <c r="W56" s="12" t="inlineStr"/>
      <c r="X56" s="11" t="inlineStr"/>
      <c r="Y56" s="11" t="inlineStr"/>
      <c r="Z56" s="11" t="inlineStr"/>
      <c r="AA56" s="11" t="inlineStr"/>
      <c r="AB56" s="11" t="inlineStr">
        <is>
          <t>n/a</t>
        </is>
      </c>
      <c r="AC56" s="11" t="inlineStr"/>
      <c r="AD56" s="13" t="n">
        <v>46220</v>
      </c>
      <c r="AE56" s="13" t="n">
        <v>46583</v>
      </c>
      <c r="AF56" s="11" t="inlineStr">
        <is>
          <t>PR</t>
        </is>
      </c>
      <c r="AG56" s="12" t="inlineStr"/>
    </row>
    <row r="57">
      <c r="A57" s="11" t="inlineStr">
        <is>
          <t>SC-28</t>
        </is>
      </c>
      <c r="B57" s="11" t="inlineStr">
        <is>
          <t>SC - System and Communications Protection</t>
        </is>
      </c>
      <c r="C57" s="12" t="inlineStr">
        <is>
          <t>Protection of Information at Rest</t>
        </is>
      </c>
      <c r="D57" s="11" t="inlineStr">
        <is>
          <t>Moderate</t>
        </is>
      </c>
      <c r="E57" s="12" t="inlineStr">
        <is>
          <t>Protect the confidentiality and integrity of defined information at rest.</t>
        </is>
      </c>
      <c r="F57" s="11" t="inlineStr">
        <is>
          <t>Applicable</t>
        </is>
      </c>
      <c r="G57" s="12" t="inlineStr"/>
      <c r="H57" s="11" t="inlineStr">
        <is>
          <t>Hybrid</t>
        </is>
      </c>
      <c r="I57" s="11" t="inlineStr">
        <is>
          <t>SYS-01, SYS-04, SYS-10</t>
        </is>
      </c>
      <c r="J57" s="11" t="inlineStr">
        <is>
          <t>Tomasz Wierzbicki (Director, Platform Engineering)</t>
        </is>
      </c>
      <c r="K57" s="11" t="inlineStr">
        <is>
          <t>REQ-021</t>
        </is>
      </c>
      <c r="L57" s="11" t="inlineStr">
        <is>
          <t>Implemented</t>
        </is>
      </c>
      <c r="M57" s="11" t="inlineStr">
        <is>
          <t>Implemented</t>
        </is>
      </c>
      <c r="N57" s="11">
        <f>IF(L57&lt;&gt;M57,"Yes","No")</f>
        <v/>
      </c>
      <c r="O57" s="12" t="inlineStr">
        <is>
          <t>Aurora storage encryption (KMS CMK), S3 default encryption with bucket keys, EBS encryption-by-default at the account level, and backup vault encryption. Laptops use FileVault or BitLocker, enforced by MDM.</t>
        </is>
      </c>
      <c r="P57" s="12" t="inlineStr">
        <is>
          <t>Encryption settings for every PHI data store; endpoint encryption compliance</t>
        </is>
      </c>
      <c r="Q57" s="11" t="inlineStr">
        <is>
          <t>EVID-056</t>
        </is>
      </c>
      <c r="R57" s="12" t="inlineStr">
        <is>
          <t>GRC-Vault:/WCP-2026/SC/EVID-056_encryption.zip</t>
        </is>
      </c>
      <c r="S57" s="11" t="inlineStr">
        <is>
          <t>Implementation</t>
        </is>
      </c>
      <c r="T57" s="11" t="inlineStr">
        <is>
          <t>Examine, Test</t>
        </is>
      </c>
      <c r="U57" s="12" t="inlineStr">
        <is>
          <t>Queried the encryption status of every RDS, S3, and EBS resource in wcp-prod (100% encrypted) and the MDM encryption compliance (362 of 362 endpoints). Expected: all PHI at rest encrypted. Actual: met. wf-sftp-01 volumes are encrypted (EBS default).</t>
        </is>
      </c>
      <c r="V57" s="11" t="inlineStr">
        <is>
          <t>Satisfied</t>
        </is>
      </c>
      <c r="W57" s="12" t="inlineStr"/>
      <c r="X57" s="11" t="inlineStr"/>
      <c r="Y57" s="11" t="inlineStr">
        <is>
          <t>RISK-018</t>
        </is>
      </c>
      <c r="Z57" s="11" t="inlineStr"/>
      <c r="AA57" s="11" t="inlineStr"/>
      <c r="AB57" s="11" t="inlineStr">
        <is>
          <t>n/a</t>
        </is>
      </c>
      <c r="AC57" s="11" t="inlineStr"/>
      <c r="AD57" s="13" t="n">
        <v>46220</v>
      </c>
      <c r="AE57" s="13" t="n">
        <v>46583</v>
      </c>
      <c r="AF57" s="11" t="inlineStr">
        <is>
          <t>PR</t>
        </is>
      </c>
      <c r="AG57" s="12" t="inlineStr"/>
    </row>
    <row r="58">
      <c r="A58" s="11" t="inlineStr">
        <is>
          <t>SI-2</t>
        </is>
      </c>
      <c r="B58" s="11" t="inlineStr">
        <is>
          <t>SI - System and Information Integrity</t>
        </is>
      </c>
      <c r="C58" s="12" t="inlineStr">
        <is>
          <t>Flaw Remediation</t>
        </is>
      </c>
      <c r="D58" s="11" t="inlineStr">
        <is>
          <t>Moderate</t>
        </is>
      </c>
      <c r="E58" s="12" t="inlineStr">
        <is>
          <t>Identify, report, and correct system flaws; test updates before installation; install security-relevant updates within a defined time; incorporate flaw remediation into configuration management.</t>
        </is>
      </c>
      <c r="F58" s="11" t="inlineStr">
        <is>
          <t>Applicable</t>
        </is>
      </c>
      <c r="G58" s="12" t="inlineStr"/>
      <c r="H58" s="11" t="inlineStr">
        <is>
          <t>System-specific</t>
        </is>
      </c>
      <c r="I58" s="11" t="inlineStr">
        <is>
          <t>SYS-01, SYS-05</t>
        </is>
      </c>
      <c r="J58" s="11" t="inlineStr">
        <is>
          <t>Grace Lindqvist (VP Engineering)</t>
        </is>
      </c>
      <c r="K58" s="11" t="inlineStr">
        <is>
          <t>REQ-009</t>
        </is>
      </c>
      <c r="L58" s="11" t="inlineStr">
        <is>
          <t>Implemented</t>
        </is>
      </c>
      <c r="M58" s="11" t="inlineStr">
        <is>
          <t>Partially Implemented</t>
        </is>
      </c>
      <c r="N58" s="11">
        <f>IF(L58&lt;&gt;M58,"Yes","No")</f>
        <v/>
      </c>
      <c r="O58" s="12" t="inlineStr">
        <is>
          <t>VM-003 sets SLAs of Critical 15 days, High 30, and Moderate 90. Findings are auto-ticketed to the owning team. Container fixes ship through base-image rebuilds. Risk exceptions require a CISO-approved form (VM-003 §7).</t>
        </is>
      </c>
      <c r="P58" s="12" t="inlineStr">
        <is>
          <t>Complete population of Critical/High findings with detection and remediation dates; exception approvals</t>
        </is>
      </c>
      <c r="Q58" s="11" t="inlineStr">
        <is>
          <t>EVID-048</t>
        </is>
      </c>
      <c r="R58" s="12" t="inlineStr">
        <is>
          <t>evidence/RA/EVID-048_vuln-remediation-aging-2026H1.csv</t>
        </is>
      </c>
      <c r="S58" s="11" t="inlineStr">
        <is>
          <t>Operating Effectiveness</t>
        </is>
      </c>
      <c r="T58" s="11" t="inlineStr">
        <is>
          <t>Examine, Test</t>
        </is>
      </c>
      <c r="U58" s="12" t="inlineStr">
        <is>
          <t>Full population test (test-results/si2-vuln-sla.md). Expected: 100% remediated within SLA, or approved exception. Actual: 14 of 61 (23%) breached SLA; 6 remain open past SLA (2 Critical), and 0 exceptions were filed. Engineering disputes the 2 Critical findings as unreachable. Assessor position: the SLA applies until an exception with reachability analysis is approved.</t>
        </is>
      </c>
      <c r="V58" s="11" t="inlineStr">
        <is>
          <t>Other Than Satisfied</t>
        </is>
      </c>
      <c r="W58" s="12" t="inlineStr">
        <is>
          <t>Remediation timeliness below SLA; exception process unused.</t>
        </is>
      </c>
      <c r="X58" s="11" t="inlineStr">
        <is>
          <t>High</t>
        </is>
      </c>
      <c r="Y58" s="11" t="inlineStr">
        <is>
          <t>RISK-006</t>
        </is>
      </c>
      <c r="Z58" s="11" t="inlineStr">
        <is>
          <t>FIND-010</t>
        </is>
      </c>
      <c r="AA58" s="11" t="inlineStr">
        <is>
          <t>POAM-010</t>
        </is>
      </c>
      <c r="AB58" s="11" t="inlineStr">
        <is>
          <t>POAM-010: In Progress</t>
        </is>
      </c>
      <c r="AC58" s="11" t="inlineStr">
        <is>
          <t>OBS-04</t>
        </is>
      </c>
      <c r="AD58" s="13" t="n">
        <v>46220</v>
      </c>
      <c r="AE58" s="13" t="n">
        <v>46331</v>
      </c>
      <c r="AF58" s="11" t="inlineStr">
        <is>
          <t>PR</t>
        </is>
      </c>
      <c r="AG58" s="12" t="inlineStr"/>
    </row>
    <row r="59">
      <c r="A59" s="11" t="inlineStr">
        <is>
          <t>SI-3</t>
        </is>
      </c>
      <c r="B59" s="11" t="inlineStr">
        <is>
          <t>SI - System and Information Integrity</t>
        </is>
      </c>
      <c r="C59" s="12" t="inlineStr">
        <is>
          <t>Malicious Code Protection</t>
        </is>
      </c>
      <c r="D59" s="11" t="inlineStr">
        <is>
          <t>Moderate</t>
        </is>
      </c>
      <c r="E59" s="12" t="inlineStr">
        <is>
          <t>Implement signature- and/or non-signature-based malicious code protection at entry and exit points; update it; scan periodically and in real time; take defined actions on detection.</t>
        </is>
      </c>
      <c r="F59" s="11" t="inlineStr">
        <is>
          <t>Applicable</t>
        </is>
      </c>
      <c r="G59" s="12" t="inlineStr"/>
      <c r="H59" s="11" t="inlineStr">
        <is>
          <t>Hybrid</t>
        </is>
      </c>
      <c r="I59" s="11" t="inlineStr">
        <is>
          <t>SYS-01, SYS-05, SYS-10</t>
        </is>
      </c>
      <c r="J59" s="11" t="inlineStr">
        <is>
          <t>Owen Castillo (Security Engineer)</t>
        </is>
      </c>
      <c r="K59" s="11" t="inlineStr">
        <is>
          <t>REQ-016</t>
        </is>
      </c>
      <c r="L59" s="11" t="inlineStr">
        <is>
          <t>Implemented</t>
        </is>
      </c>
      <c r="M59" s="11" t="inlineStr">
        <is>
          <t>Implemented</t>
        </is>
      </c>
      <c r="N59" s="11">
        <f>IF(L59&lt;&gt;M59,"Yes","No")</f>
        <v/>
      </c>
      <c r="O59" s="12" t="inlineStr">
        <is>
          <t>EDR on endpoints and EC2 hosts (including wf-sftp-01), runtime protection on EKS nodes (DaemonSet), and email security filtering. Detections auto-contain and escalate to MDR.</t>
        </is>
      </c>
      <c r="P59" s="12" t="inlineStr">
        <is>
          <t>Coverage report reconciled to inventory; policy settings; detection records</t>
        </is>
      </c>
      <c r="Q59" s="11" t="inlineStr">
        <is>
          <t>EVID-057; EVID-038</t>
        </is>
      </c>
      <c r="R59" s="12" t="inlineStr">
        <is>
          <t>GRC-Vault:/WCP-2026/SI/EVID-057_edr-coverage.csv; evidence/IR/EVID-038_incident-tickets-2026H1.csv</t>
        </is>
      </c>
      <c r="S59" s="11" t="inlineStr">
        <is>
          <t>Operating Effectiveness</t>
        </is>
      </c>
      <c r="T59" s="11" t="inlineStr">
        <is>
          <t>Examine, Test</t>
        </is>
      </c>
      <c r="U59" s="12" t="inlineStr">
        <is>
          <t>Reconciled EDR sensors to the MDM and AWS inventory: 358 of 362 endpoints (4 were new devices under 72h old, within the provisioning standard), 100% of EC2 hosts and EKS nodes. INC-2026-0095 shows detection and containment operating.</t>
        </is>
      </c>
      <c r="V59" s="11" t="inlineStr">
        <is>
          <t>Satisfied</t>
        </is>
      </c>
      <c r="W59" s="12" t="inlineStr"/>
      <c r="X59" s="11" t="inlineStr"/>
      <c r="Y59" s="11" t="inlineStr"/>
      <c r="Z59" s="11" t="inlineStr"/>
      <c r="AA59" s="11" t="inlineStr"/>
      <c r="AB59" s="11" t="inlineStr">
        <is>
          <t>n/a</t>
        </is>
      </c>
      <c r="AC59" s="11" t="inlineStr"/>
      <c r="AD59" s="13" t="n">
        <v>46220</v>
      </c>
      <c r="AE59" s="13" t="n">
        <v>46583</v>
      </c>
      <c r="AF59" s="11" t="inlineStr">
        <is>
          <t>PR</t>
        </is>
      </c>
      <c r="AG59" s="12" t="inlineStr"/>
    </row>
    <row r="60">
      <c r="A60" s="11" t="inlineStr">
        <is>
          <t>SI-4</t>
        </is>
      </c>
      <c r="B60" s="11" t="inlineStr">
        <is>
          <t>SI - System and Information Integrity</t>
        </is>
      </c>
      <c r="C60" s="12" t="inlineStr">
        <is>
          <t>System Monitoring</t>
        </is>
      </c>
      <c r="D60" s="11" t="inlineStr">
        <is>
          <t>Moderate</t>
        </is>
      </c>
      <c r="E60" s="12" t="inlineStr">
        <is>
          <t>Monitor the system to detect attacks and indicators of attacks and unauthorized connections; identify unauthorized use; deploy monitoring devices strategically; analyze events; adjust monitoring when risk changes.</t>
        </is>
      </c>
      <c r="F60" s="11" t="inlineStr">
        <is>
          <t>Applicable</t>
        </is>
      </c>
      <c r="G60" s="12" t="inlineStr"/>
      <c r="H60" s="11" t="inlineStr">
        <is>
          <t>Hybrid (MDR provider + Wrenfield)</t>
        </is>
      </c>
      <c r="I60" s="11" t="inlineStr">
        <is>
          <t>SYS-01, SYS-02, SYS-08</t>
        </is>
      </c>
      <c r="J60" s="11" t="inlineStr">
        <is>
          <t>Owen Castillo (Security Engineer)</t>
        </is>
      </c>
      <c r="K60" s="11" t="inlineStr">
        <is>
          <t>REQ-019; REQ-016</t>
        </is>
      </c>
      <c r="L60" s="11" t="inlineStr">
        <is>
          <t>Implemented</t>
        </is>
      </c>
      <c r="M60" s="11" t="inlineStr">
        <is>
          <t>Implemented</t>
        </is>
      </c>
      <c r="N60" s="11">
        <f>IF(L60&lt;&gt;M60,"Yes","No")</f>
        <v/>
      </c>
      <c r="O60" s="12" t="inlineStr">
        <is>
          <t>GuardDuty (all accounts), SIEM correlation rules (Okta anomalies, impossible travel, privilege escalation), and 24x7 MDR triage with a 30-minute SLA for High alerts.</t>
        </is>
      </c>
      <c r="P60" s="12" t="inlineStr">
        <is>
          <t>Detection inventory; alert triage metrics; sample alert records</t>
        </is>
      </c>
      <c r="Q60" s="11" t="inlineStr">
        <is>
          <t>EVID-058</t>
        </is>
      </c>
      <c r="R60" s="12" t="inlineStr">
        <is>
          <t>GRC-Vault:/WCP-2026/SI/EVID-058_monitoring.zip</t>
        </is>
      </c>
      <c r="S60" s="11" t="inlineStr">
        <is>
          <t>Operating Effectiveness</t>
        </is>
      </c>
      <c r="T60" s="11" t="inlineStr">
        <is>
          <t>Examine, Test</t>
        </is>
      </c>
      <c r="U60" s="12" t="inlineStr">
        <is>
          <t>Examined the detection inventory (41 rules) and MDR metrics for H1 (High alerts triaged within 30 minutes: 97%). Sampled 10 alerts, all dispositioned. Expected: continuous monitoring with timely triage. Actual: met. The weekly human privileged-activity review is a separate AU-6 control.</t>
        </is>
      </c>
      <c r="V60" s="11" t="inlineStr">
        <is>
          <t>Satisfied</t>
        </is>
      </c>
      <c r="W60" s="12" t="inlineStr"/>
      <c r="X60" s="11" t="inlineStr"/>
      <c r="Y60" s="11" t="inlineStr"/>
      <c r="Z60" s="11" t="inlineStr"/>
      <c r="AA60" s="11" t="inlineStr"/>
      <c r="AB60" s="11" t="inlineStr">
        <is>
          <t>n/a</t>
        </is>
      </c>
      <c r="AC60" s="11" t="inlineStr"/>
      <c r="AD60" s="13" t="n">
        <v>46220</v>
      </c>
      <c r="AE60" s="13" t="n">
        <v>46583</v>
      </c>
      <c r="AF60" s="11" t="inlineStr">
        <is>
          <t>DE</t>
        </is>
      </c>
      <c r="AG60" s="12" t="inlineStr"/>
    </row>
    <row r="61">
      <c r="A61" s="11" t="inlineStr">
        <is>
          <t>SR-2</t>
        </is>
      </c>
      <c r="B61" s="11" t="inlineStr">
        <is>
          <t>SR - Supply Chain Risk Management</t>
        </is>
      </c>
      <c r="C61" s="12" t="inlineStr">
        <is>
          <t>Supply Chain Risk Management Plan</t>
        </is>
      </c>
      <c r="D61" s="11" t="inlineStr">
        <is>
          <t>Moderate</t>
        </is>
      </c>
      <c r="E61" s="12" t="inlineStr">
        <is>
          <t>Develop a plan for managing supply chain risks associated with the research, development, design, manufacturing, acquisition, delivery, integration, operations, maintenance, and disposal of the system; review, update, and protect it.</t>
        </is>
      </c>
      <c r="F61" s="11" t="inlineStr">
        <is>
          <t>Applicable</t>
        </is>
      </c>
      <c r="G61" s="12" t="inlineStr"/>
      <c r="H61" s="11" t="inlineStr">
        <is>
          <t>Common (organization-wide)</t>
        </is>
      </c>
      <c r="I61" s="11" t="inlineStr">
        <is>
          <t>Organization-wide</t>
        </is>
      </c>
      <c r="J61" s="11" t="inlineStr">
        <is>
          <t>Beth Kowalski (Vendor Management Lead)</t>
        </is>
      </c>
      <c r="K61" s="11" t="inlineStr">
        <is>
          <t>REQ-008; REQ-001</t>
        </is>
      </c>
      <c r="L61" s="11" t="inlineStr">
        <is>
          <t>Planned</t>
        </is>
      </c>
      <c r="M61" s="11" t="inlineStr">
        <is>
          <t>Planned</t>
        </is>
      </c>
      <c r="N61" s="11">
        <f>IF(L61&lt;&gt;M61,"Yes","No")</f>
        <v/>
      </c>
      <c r="O61" s="12" t="inlineStr">
        <is>
          <t>No C-SCRM plan exists. TPRM-007 covers vendor due diligence but not software supply chain (dependencies, CI/CD, SBOM) or fourth-party mapping. A draft outline was produced in 2026-06.</t>
        </is>
      </c>
      <c r="P61" s="12" t="inlineStr">
        <is>
          <t>Approved C-SCRM plan</t>
        </is>
      </c>
      <c r="Q61" s="11" t="inlineStr">
        <is>
          <t>EVID-059</t>
        </is>
      </c>
      <c r="R61" s="12" t="inlineStr">
        <is>
          <t>GRC-Vault:/WCP-2026/SR/EVID-059_cscrm-outline.docx</t>
        </is>
      </c>
      <c r="S61" s="11" t="inlineStr">
        <is>
          <t>Design</t>
        </is>
      </c>
      <c r="T61" s="11" t="inlineStr">
        <is>
          <t>Examine, Interview</t>
        </is>
      </c>
      <c r="U61" s="12" t="inlineStr">
        <is>
          <t>Expected: an approved C-SCRM plan. Actual: an outline only (EVID-059, Insufficient). The plan is scheduled for Q4 2026, aligned to SP 800-161 Rev. 1 Update 1 and the new SP 800-18 Rev. 2 C-SCRM plan structure.</t>
        </is>
      </c>
      <c r="V61" s="11" t="inlineStr">
        <is>
          <t>Other Than Satisfied</t>
        </is>
      </c>
      <c r="W61" s="12" t="inlineStr">
        <is>
          <t>No C-SCRM plan.</t>
        </is>
      </c>
      <c r="X61" s="11" t="inlineStr">
        <is>
          <t>Moderate</t>
        </is>
      </c>
      <c r="Y61" s="11" t="inlineStr">
        <is>
          <t>RISK-011</t>
        </is>
      </c>
      <c r="Z61" s="11" t="inlineStr">
        <is>
          <t>FIND-015</t>
        </is>
      </c>
      <c r="AA61" s="11" t="inlineStr">
        <is>
          <t>POAM-015</t>
        </is>
      </c>
      <c r="AB61" s="11" t="inlineStr">
        <is>
          <t>POAM-015: In Progress</t>
        </is>
      </c>
      <c r="AC61" s="11" t="inlineStr"/>
      <c r="AD61" s="13" t="n">
        <v>46220</v>
      </c>
      <c r="AE61" s="13" t="n">
        <v>46421</v>
      </c>
      <c r="AF61" s="11" t="inlineStr">
        <is>
          <t>GV</t>
        </is>
      </c>
      <c r="AG61" s="12" t="inlineStr"/>
    </row>
    <row r="62">
      <c r="A62" s="11" t="inlineStr">
        <is>
          <t>SR-6</t>
        </is>
      </c>
      <c r="B62" s="11" t="inlineStr">
        <is>
          <t>SR - Supply Chain Risk Management</t>
        </is>
      </c>
      <c r="C62" s="12" t="inlineStr">
        <is>
          <t>Supplier Assessments and Reviews</t>
        </is>
      </c>
      <c r="D62" s="11" t="inlineStr">
        <is>
          <t>Moderate</t>
        </is>
      </c>
      <c r="E62" s="12" t="inlineStr">
        <is>
          <t>Assess and review the supply chain-related risks associated with suppliers or contractors and the systems, components, or services they provide, at a defined frequency.</t>
        </is>
      </c>
      <c r="F62" s="11" t="inlineStr">
        <is>
          <t>Applicable</t>
        </is>
      </c>
      <c r="G62" s="12" t="inlineStr"/>
      <c r="H62" s="11" t="inlineStr">
        <is>
          <t>Common (vendor-management program)</t>
        </is>
      </c>
      <c r="I62" s="11" t="inlineStr">
        <is>
          <t>Vendors (14 Tier 1–2)</t>
        </is>
      </c>
      <c r="J62" s="11" t="inlineStr">
        <is>
          <t>Beth Kowalski (Vendor Management Lead)</t>
        </is>
      </c>
      <c r="K62" s="11" t="inlineStr">
        <is>
          <t>REQ-008; REQ-018</t>
        </is>
      </c>
      <c r="L62" s="11" t="inlineStr">
        <is>
          <t>Implemented</t>
        </is>
      </c>
      <c r="M62" s="11" t="inlineStr">
        <is>
          <t>Partially Implemented</t>
        </is>
      </c>
      <c r="N62" s="11">
        <f>IF(L62&lt;&gt;M62,"Yes","No")</f>
        <v/>
      </c>
      <c r="O62" s="12" t="inlineStr">
        <is>
          <t>Tier-based reassessment (Tier 1 annually) using a questionnaire plus attestation review (SOC 2 and pentest summaries). There is no fourth-party inventory. Assessments are tracked in a spreadsheet.</t>
        </is>
      </c>
      <c r="P62" s="12" t="inlineStr">
        <is>
          <t>Assessment records per vendor, within the frequency for its tier</t>
        </is>
      </c>
      <c r="Q62" s="11" t="inlineStr">
        <is>
          <t>EVID-049; EVID-050; EVID-051</t>
        </is>
      </c>
      <c r="R62" s="12" t="inlineStr">
        <is>
          <t>vendor-risk/vendor-assessment.xlsx; evidence/SR/EVID-050_quarrystone-soc2-review-workpaper.md; GRC-Vault:/WCP-2026/SR/EVID-051_pending</t>
        </is>
      </c>
      <c r="S62" s="11" t="inlineStr">
        <is>
          <t>Operating Effectiveness</t>
        </is>
      </c>
      <c r="T62" s="11" t="inlineStr">
        <is>
          <t>Examine, Test</t>
        </is>
      </c>
      <c r="U62" s="12" t="inlineStr">
        <is>
          <t>Expected: all Tier 1–2 vendors assessed within frequency. Actual: 5 of 14 overdue or never assessed (including Tier 1 Pulsewire and Ironpeak). The Quarrystone deep assessment found 12 vendor-risk issues (1 Critical, contained 2026-07-24). The vendor's pentest report and retest evidence are still outstanding (EVID-051).</t>
        </is>
      </c>
      <c r="V62" s="11" t="inlineStr">
        <is>
          <t>Other Than Satisfied</t>
        </is>
      </c>
      <c r="W62" s="12" t="inlineStr">
        <is>
          <t>Supplier reviews are overdue, and no fourth-party visibility exists.</t>
        </is>
      </c>
      <c r="X62" s="11" t="inlineStr">
        <is>
          <t>High</t>
        </is>
      </c>
      <c r="Y62" s="11" t="inlineStr">
        <is>
          <t>RISK-010; RISK-011</t>
        </is>
      </c>
      <c r="Z62" s="11" t="inlineStr">
        <is>
          <t>FIND-015; FIND-016</t>
        </is>
      </c>
      <c r="AA62" s="11" t="inlineStr">
        <is>
          <t>POAM-015; POAM-016</t>
        </is>
      </c>
      <c r="AB62" s="11" t="inlineStr">
        <is>
          <t>POAM-015: In Progress; POAM-016: In Progress</t>
        </is>
      </c>
      <c r="AC62" s="11" t="inlineStr"/>
      <c r="AD62" s="13" t="n">
        <v>46220</v>
      </c>
      <c r="AE62" s="13" t="n">
        <v>46398</v>
      </c>
      <c r="AF62" s="11" t="inlineStr">
        <is>
          <t>GV</t>
        </is>
      </c>
      <c r="AG62" s="12" t="inlineStr"/>
    </row>
  </sheetData>
  <autoFilter ref="A1:AG62"/>
  <conditionalFormatting sqref="X2:X262">
    <cfRule type="expression" priority="1" dxfId="0">
      <formula>X2="Critical"</formula>
    </cfRule>
    <cfRule type="expression" priority="2" dxfId="1">
      <formula>X2="High"</formula>
    </cfRule>
    <cfRule type="expression" priority="3" dxfId="2">
      <formula>X2="Moderate"</formula>
    </cfRule>
    <cfRule type="expression" priority="4" dxfId="3">
      <formula>X2="Low"</formula>
    </cfRule>
  </conditionalFormatting>
  <conditionalFormatting sqref="V2:V262">
    <cfRule type="expression" priority="5" dxfId="4">
      <formula>V2="Satisfied"</formula>
    </cfRule>
    <cfRule type="expression" priority="6" dxfId="5">
      <formula>V2="Other Than Satisfied"</formula>
    </cfRule>
    <cfRule type="expression" priority="7" dxfId="4">
      <formula>V2="Closed"</formula>
    </cfRule>
    <cfRule type="expression" priority="8" dxfId="4">
      <formula>V2="Accepted"</formula>
    </cfRule>
    <cfRule type="expression" priority="9" dxfId="6">
      <formula>V2="Risk Accepted"</formula>
    </cfRule>
    <cfRule type="expression" priority="10" dxfId="5">
      <formula>V2="Overdue"</formula>
    </cfRule>
    <cfRule type="expression" priority="11" dxfId="5">
      <formula>V2="Yes"</formula>
    </cfRule>
    <cfRule type="expression" priority="12" dxfId="5">
      <formula>V2="Insufficient"</formula>
    </cfRule>
    <cfRule type="expression" priority="13" dxfId="7">
      <formula>V2="Rework Required"</formula>
    </cfRule>
    <cfRule type="expression" priority="14" dxfId="7">
      <formula>V2="Delayed"</formula>
    </cfRule>
  </conditionalFormatting>
  <conditionalFormatting sqref="N2:N262">
    <cfRule type="expression" priority="15" dxfId="4">
      <formula>N2="Satisfied"</formula>
    </cfRule>
    <cfRule type="expression" priority="16" dxfId="5">
      <formula>N2="Other Than Satisfied"</formula>
    </cfRule>
    <cfRule type="expression" priority="17" dxfId="4">
      <formula>N2="Closed"</formula>
    </cfRule>
    <cfRule type="expression" priority="18" dxfId="4">
      <formula>N2="Accepted"</formula>
    </cfRule>
    <cfRule type="expression" priority="19" dxfId="6">
      <formula>N2="Risk Accepted"</formula>
    </cfRule>
    <cfRule type="expression" priority="20" dxfId="5">
      <formula>N2="Overdue"</formula>
    </cfRule>
    <cfRule type="expression" priority="21" dxfId="5">
      <formula>N2="Yes"</formula>
    </cfRule>
    <cfRule type="expression" priority="22" dxfId="5">
      <formula>N2="Insufficient"</formula>
    </cfRule>
    <cfRule type="expression" priority="23" dxfId="7">
      <formula>N2="Rework Required"</formula>
    </cfRule>
    <cfRule type="expression" priority="24" dxfId="7">
      <formula>N2="Delayed"</formula>
    </cfRule>
  </conditionalFormatting>
  <dataValidations count="4">
    <dataValidation sqref="L2:L262" showDropDown="0" showInputMessage="0" showErrorMessage="1" allowBlank="1" errorTitle="Controlled value" error="Choose a value from the list (controlled vocabulary)." type="list">
      <formula1>"Implemented,Partially Implemented,Planned,Not Implemented,Not Applicable"</formula1>
    </dataValidation>
    <dataValidation sqref="M2:M262" showDropDown="0" showInputMessage="0" showErrorMessage="1" allowBlank="1" errorTitle="Controlled value" error="Choose a value from the list (controlled vocabulary)." type="list">
      <formula1>"Implemented,Partially Implemented,Planned,Not Implemented,Not Applicable"</formula1>
    </dataValidation>
    <dataValidation sqref="V2:V262" showDropDown="0" showInputMessage="0" showErrorMessage="1" allowBlank="1" errorTitle="Controlled value" error="Choose a value from the list (controlled vocabulary)." type="list">
      <formula1>"Satisfied,Other Than Satisfied,Not Assessed"</formula1>
    </dataValidation>
    <dataValidation sqref="S2:S262" showDropDown="0" showInputMessage="0" showErrorMessage="1" allowBlank="1" errorTitle="Controlled value" error="Choose a value from the list (controlled vocabulary)." type="list">
      <formula1>"Design,Implementation,Operating Effectiveness"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40" customWidth="1" min="3" max="3"/>
    <col width="40" customWidth="1" min="4" max="4"/>
    <col width="40" customWidth="1" min="5" max="5"/>
    <col width="40" customWidth="1" min="6" max="6"/>
    <col width="40" customWidth="1" min="7" max="7"/>
    <col width="21" customWidth="1" min="8" max="8"/>
    <col width="16" customWidth="1" min="9" max="9"/>
    <col width="16" customWidth="1" min="10" max="10"/>
    <col width="16" customWidth="1" min="11" max="11"/>
    <col width="20" customWidth="1" min="12" max="12"/>
    <col width="16" customWidth="1" min="13" max="13"/>
    <col width="16" customWidth="1" min="14" max="14"/>
    <col width="16" customWidth="1" min="15" max="15"/>
    <col width="20" customWidth="1" min="16" max="16"/>
    <col width="40" customWidth="1" min="17" max="17"/>
    <col width="16" customWidth="1" min="18" max="18"/>
    <col width="16" customWidth="1" min="19" max="19"/>
    <col width="21" customWidth="1" min="20" max="20"/>
    <col width="16" customWidth="1" min="21" max="21"/>
    <col width="16" customWidth="1" min="22" max="22"/>
    <col width="16" customWidth="1" min="23" max="23"/>
    <col width="16" customWidth="1" min="24" max="24"/>
    <col width="23" customWidth="1" min="25" max="25"/>
    <col width="18" customWidth="1" min="26" max="26"/>
    <col width="16" customWidth="1" min="27" max="27"/>
    <col width="16" customWidth="1" min="28" max="28"/>
    <col width="40" customWidth="1" min="29" max="29"/>
    <col width="40" customWidth="1" min="30" max="30"/>
    <col width="40" customWidth="1" min="31" max="31"/>
  </cols>
  <sheetData>
    <row r="1" ht="32" customHeight="1">
      <c r="A1" s="10" t="inlineStr">
        <is>
          <t>Risk ID</t>
        </is>
      </c>
      <c r="B1" s="10" t="inlineStr">
        <is>
          <t>Risk Title</t>
        </is>
      </c>
      <c r="C1" s="10" t="inlineStr">
        <is>
          <t>Risk Description</t>
        </is>
      </c>
      <c r="D1" s="10" t="inlineStr">
        <is>
          <t>Asset / Process</t>
        </is>
      </c>
      <c r="E1" s="10" t="inlineStr">
        <is>
          <t>Threat</t>
        </is>
      </c>
      <c r="F1" s="10" t="inlineStr">
        <is>
          <t>Vulnerability</t>
        </is>
      </c>
      <c r="G1" s="10" t="inlineStr">
        <is>
          <t>Existing Controls</t>
        </is>
      </c>
      <c r="H1" s="10" t="inlineStr">
        <is>
          <t>Inherent Likelihood</t>
        </is>
      </c>
      <c r="I1" s="10" t="inlineStr">
        <is>
          <t>Inherent Impact</t>
        </is>
      </c>
      <c r="J1" s="10" t="inlineStr">
        <is>
          <t>Inherent Score</t>
        </is>
      </c>
      <c r="K1" s="10" t="inlineStr">
        <is>
          <t>Inherent Risk</t>
        </is>
      </c>
      <c r="L1" s="10" t="inlineStr">
        <is>
          <t>Current Likelihood</t>
        </is>
      </c>
      <c r="M1" s="10" t="inlineStr">
        <is>
          <t>Current Impact</t>
        </is>
      </c>
      <c r="N1" s="10" t="inlineStr">
        <is>
          <t>Current Score</t>
        </is>
      </c>
      <c r="O1" s="10" t="inlineStr">
        <is>
          <t>Current Risk</t>
        </is>
      </c>
      <c r="P1" s="10" t="inlineStr">
        <is>
          <t>Treatment Strategy</t>
        </is>
      </c>
      <c r="Q1" s="10" t="inlineStr">
        <is>
          <t>Planned Mitigation</t>
        </is>
      </c>
      <c r="R1" s="10" t="inlineStr">
        <is>
          <t>Risk Owner</t>
        </is>
      </c>
      <c r="S1" s="10" t="inlineStr">
        <is>
          <t>Target Date</t>
        </is>
      </c>
      <c r="T1" s="10" t="inlineStr">
        <is>
          <t>Residual Likelihood</t>
        </is>
      </c>
      <c r="U1" s="10" t="inlineStr">
        <is>
          <t>Residual Impact</t>
        </is>
      </c>
      <c r="V1" s="10" t="inlineStr">
        <is>
          <t>Residual Score</t>
        </is>
      </c>
      <c r="W1" s="10" t="inlineStr">
        <is>
          <t>Residual Risk</t>
        </is>
      </c>
      <c r="X1" s="10" t="inlineStr">
        <is>
          <t>Status</t>
        </is>
      </c>
      <c r="Y1" s="10" t="inlineStr">
        <is>
          <t>Related NIST Controls</t>
        </is>
      </c>
      <c r="Z1" s="10" t="inlineStr">
        <is>
          <t>Related Findings</t>
        </is>
      </c>
      <c r="AA1" s="10" t="inlineStr">
        <is>
          <t>Related POA&amp;M</t>
        </is>
      </c>
      <c r="AB1" s="10" t="inlineStr">
        <is>
          <t>Review Date</t>
        </is>
      </c>
      <c r="AC1" s="10" t="inlineStr">
        <is>
          <t>Rationale: Inherent</t>
        </is>
      </c>
      <c r="AD1" s="10" t="inlineStr">
        <is>
          <t>Rationale: Current</t>
        </is>
      </c>
      <c r="AE1" s="10" t="inlineStr">
        <is>
          <t>Rationale: Residual</t>
        </is>
      </c>
    </row>
    <row r="2">
      <c r="A2" s="11" t="inlineStr">
        <is>
          <t>RISK-001</t>
        </is>
      </c>
      <c r="B2" s="12" t="inlineStr">
        <is>
          <t>Privileged cloud or identity admin account misused or compromised</t>
        </is>
      </c>
      <c r="C2" s="12" t="inlineStr">
        <is>
          <t>An attacker phishes or steals the session of a user holding production AdministratorAccess, Okta Super Admin, or GitHub owner, then exfiltrates PHI or destroys infrastructure.</t>
        </is>
      </c>
      <c r="D2" s="12" t="inlineStr">
        <is>
          <t>AWS wcp-prod admin plane, Okta tenant, GitHub org</t>
        </is>
      </c>
      <c r="E2" s="12" t="inlineStr">
        <is>
          <t>External actor (phishing, session-token theft) or malicious/negligent insider</t>
        </is>
      </c>
      <c r="F2" s="12" t="inlineStr">
        <is>
          <t>Excess admin grants; admin performed from daily-use accounts; no JIT elevation</t>
        </is>
      </c>
      <c r="G2" s="12" t="inlineStr">
        <is>
          <t>Okta SSO+MFA for most users; CloudTrail and GuardDuty; MDR 24x7; Vault Lock on backups</t>
        </is>
      </c>
      <c r="H2" s="11" t="n">
        <v>4</v>
      </c>
      <c r="I2" s="11" t="n">
        <v>5</v>
      </c>
      <c r="J2" s="11">
        <f>H2*I2</f>
        <v/>
      </c>
      <c r="K2" s="11">
        <f>IF(J2="","",IF(J2&gt;=20,"Critical",IF(J2&gt;=10,"High",IF(J2&gt;=5,"Moderate","Low"))))</f>
        <v/>
      </c>
      <c r="L2" s="11" t="n">
        <v>3</v>
      </c>
      <c r="M2" s="11" t="n">
        <v>5</v>
      </c>
      <c r="N2" s="11">
        <f>L2*M2</f>
        <v/>
      </c>
      <c r="O2" s="11">
        <f>IF(N2="","",IF(N2&gt;=20,"Critical",IF(N2&gt;=10,"High",IF(N2&gt;=5,"Moderate","Low"))))</f>
        <v/>
      </c>
      <c r="P2" s="11" t="inlineStr">
        <is>
          <t>Mitigate</t>
        </is>
      </c>
      <c r="Q2" s="12" t="inlineStr">
        <is>
          <t>Remove excess grants; -adm accounts; JIT elevation; GitHub owner cap (POAM-003)</t>
        </is>
      </c>
      <c r="R2" s="11" t="inlineStr">
        <is>
          <t>Samir Haddad (CTO)</t>
        </is>
      </c>
      <c r="S2" s="13" t="n">
        <v>46331</v>
      </c>
      <c r="T2" s="11" t="n">
        <v>2</v>
      </c>
      <c r="U2" s="11" t="n">
        <v>4</v>
      </c>
      <c r="V2" s="11">
        <f>T2*U2</f>
        <v/>
      </c>
      <c r="W2" s="11">
        <f>IF(V2="","",IF(V2&gt;=20,"Critical",IF(V2&gt;=10,"High",IF(V2&gt;=5,"Moderate","Low"))))</f>
        <v/>
      </c>
      <c r="X2" s="11" t="inlineStr">
        <is>
          <t>Treatment in progress</t>
        </is>
      </c>
      <c r="Y2" s="11" t="inlineStr">
        <is>
          <t>AC-6; AC-6(2); AC-6(5); IA-2(1)</t>
        </is>
      </c>
      <c r="Z2" s="11" t="inlineStr">
        <is>
          <t>FIND-003</t>
        </is>
      </c>
      <c r="AA2" s="11" t="inlineStr">
        <is>
          <t>POAM-003</t>
        </is>
      </c>
      <c r="AB2" s="13" t="n">
        <v>46283</v>
      </c>
      <c r="AC2" s="12" t="inlineStr">
        <is>
          <t>L4: identity-based intrusion is the dominant cloud attack path. I5: admin reaches all PHI (&gt;50k records) and can cause an outage over 24h.</t>
        </is>
      </c>
      <c r="AD2" s="12" t="inlineStr">
        <is>
          <t>L3: MFA and monitoring raise attacker effort, but 6 unjustified or daily-account admin assignments existed. I5 unchanged: any admin can still reach everything.</t>
        </is>
      </c>
      <c r="AE2" s="12" t="inlineStr">
        <is>
          <t>L2: -adm accounts with phishing-resistant MFA plus approval-gated JIT elevation. I4: time-boxed sessions and Vault Lock limit destructive impact and dwell time, but exfiltration during a session is still possible.</t>
        </is>
      </c>
    </row>
    <row r="3">
      <c r="A3" s="11" t="inlineStr">
        <is>
          <t>RISK-002</t>
        </is>
      </c>
      <c r="B3" s="12" t="inlineStr">
        <is>
          <t>Unauthorized access by former employees or contractors</t>
        </is>
      </c>
      <c r="C3" s="12" t="inlineStr">
        <is>
          <t>A departed worker's still-active account is used, by them or by an attacker, to access PHI or financial systems.</t>
        </is>
      </c>
      <c r="D3" s="12" t="inlineStr">
        <is>
          <t>All in-scope systems, including Ledgerline and the vendor portal</t>
        </is>
      </c>
      <c r="E3" s="12" t="inlineStr">
        <is>
          <t>Former workforce member (disgruntled or careless), or an attacker using an orphaned account</t>
        </is>
      </c>
      <c r="F3" s="12" t="inlineStr">
        <is>
          <t>Manual de-provisioning; local accounts outside SSO; contractor end dates not enforced</t>
        </is>
      </c>
      <c r="G3" s="12" t="inlineStr">
        <is>
          <t>Okta deactivation by IT ticket; asset recovery at exit</t>
        </is>
      </c>
      <c r="H3" s="11" t="n">
        <v>4</v>
      </c>
      <c r="I3" s="11" t="n">
        <v>4</v>
      </c>
      <c r="J3" s="11">
        <f>H3*I3</f>
        <v/>
      </c>
      <c r="K3" s="11">
        <f>IF(J3="","",IF(J3&gt;=20,"Critical",IF(J3&gt;=10,"High",IF(J3&gt;=5,"Moderate","Low"))))</f>
        <v/>
      </c>
      <c r="L3" s="11" t="n">
        <v>4</v>
      </c>
      <c r="M3" s="11" t="n">
        <v>4</v>
      </c>
      <c r="N3" s="11">
        <f>L3*M3</f>
        <v/>
      </c>
      <c r="O3" s="11">
        <f>IF(N3="","",IF(N3&gt;=20,"Critical",IF(N3&gt;=10,"High",IF(N3&gt;=5,"Moderate","Low"))))</f>
        <v/>
      </c>
      <c r="P3" s="11" t="inlineStr">
        <is>
          <t>Mitigate</t>
        </is>
      </c>
      <c r="Q3" s="12" t="inlineStr">
        <is>
          <t>HR-to-Okta reconciliation with auto-ticketing; contractor expiry; local-account cleanup (POAM-001, POAM-006)</t>
        </is>
      </c>
      <c r="R3" s="11" t="inlineStr">
        <is>
          <t>Alicia Moreno (CISO)</t>
        </is>
      </c>
      <c r="S3" s="13" t="n">
        <v>46275</v>
      </c>
      <c r="T3" s="11" t="n">
        <v>2</v>
      </c>
      <c r="U3" s="11" t="n">
        <v>4</v>
      </c>
      <c r="V3" s="11">
        <f>T3*U3</f>
        <v/>
      </c>
      <c r="W3" s="11">
        <f>IF(V3="","",IF(V3&gt;=20,"Critical",IF(V3&gt;=10,"High",IF(V3&gt;=5,"Moderate","Low"))))</f>
        <v/>
      </c>
      <c r="X3" s="11" t="inlineStr">
        <is>
          <t>Treated (residual achieved; monitoring)</t>
        </is>
      </c>
      <c r="Y3" s="11" t="inlineStr">
        <is>
          <t>AC-2; AC-2(1); AC-2(3); PS-4; PS-7</t>
        </is>
      </c>
      <c r="Z3" s="11" t="inlineStr">
        <is>
          <t>FIND-001; FIND-006</t>
        </is>
      </c>
      <c r="AA3" s="11" t="inlineStr">
        <is>
          <t>POAM-001; POAM-006</t>
        </is>
      </c>
      <c r="AB3" s="13" t="n">
        <v>46283</v>
      </c>
      <c r="AC3" s="12" t="inlineStr">
        <is>
          <t>L4: turnover of about 38/year plus contractors, and orphaned accounts are a well-known misuse path. I4: AWS admin or PHI DB access affects 500–50,000+ records; limited by role mix.</t>
        </is>
      </c>
      <c r="AD3" s="12" t="inlineStr">
        <is>
          <t>L4 unchanged: the control failed testing (2 of 19 not disabled, 1 post-termination sign-in, local admin account active 95 days) and earns no credit. I4.</t>
        </is>
      </c>
      <c r="AE3" s="12" t="inlineStr">
        <is>
          <t>L2: daily reconciliation job, contractor account expiry, and a local-account inventory, validated 7 of 7. I4 unchanged: a missed account could still reach sensitive data.</t>
        </is>
      </c>
    </row>
    <row r="4">
      <c r="A4" s="11" t="inlineStr">
        <is>
          <t>RISK-003</t>
        </is>
      </c>
      <c r="B4" s="12" t="inlineStr">
        <is>
          <t>Account takeover through MFA gaps</t>
        </is>
      </c>
      <c r="C4" s="12" t="inlineStr">
        <is>
          <t>An attacker obtains the password of an MFA-exempt account and signs in directly, inheriting that user's access, including identity administration.</t>
        </is>
      </c>
      <c r="D4" s="12" t="inlineStr">
        <is>
          <t>Okta and all federated systems</t>
        </is>
      </c>
      <c r="E4" s="12" t="inlineStr">
        <is>
          <t>Credential phishing, password spraying, reuse of breached credentials</t>
        </is>
      </c>
      <c r="F4" s="12" t="inlineStr">
        <is>
          <t>MFA exemption group (9 humans incl. an Okta Super Admin); IAM user without MFA</t>
        </is>
      </c>
      <c r="G4" s="12" t="inlineStr">
        <is>
          <t>Global MFA policy for 97% of users; replay-resistant authenticators; Okta ThreatInsight</t>
        </is>
      </c>
      <c r="H4" s="11" t="n">
        <v>4</v>
      </c>
      <c r="I4" s="11" t="n">
        <v>5</v>
      </c>
      <c r="J4" s="11">
        <f>H4*I4</f>
        <v/>
      </c>
      <c r="K4" s="11">
        <f>IF(J4="","",IF(J4&gt;=20,"Critical",IF(J4&gt;=10,"High",IF(J4&gt;=5,"Moderate","Low"))))</f>
        <v/>
      </c>
      <c r="L4" s="11" t="n">
        <v>3</v>
      </c>
      <c r="M4" s="11" t="n">
        <v>5</v>
      </c>
      <c r="N4" s="11">
        <f>L4*M4</f>
        <v/>
      </c>
      <c r="O4" s="11">
        <f>IF(N4="","",IF(N4&gt;=20,"Critical",IF(N4&gt;=10,"High",IF(N4&gt;=5,"Moderate","Low"))))</f>
        <v/>
      </c>
      <c r="P4" s="11" t="inlineStr">
        <is>
          <t>Mitigate</t>
        </is>
      </c>
      <c r="Q4" s="12" t="inlineStr">
        <is>
          <t>Delete the exemption policy; enroll all users; phishing-resistant admin MFA; exception workflow (POAM-002)</t>
        </is>
      </c>
      <c r="R4" s="11" t="inlineStr">
        <is>
          <t>Alicia Moreno (CISO)</t>
        </is>
      </c>
      <c r="S4" s="13" t="n">
        <v>46270</v>
      </c>
      <c r="T4" s="11" t="n">
        <v>2</v>
      </c>
      <c r="U4" s="11" t="n">
        <v>4</v>
      </c>
      <c r="V4" s="11">
        <f>T4*U4</f>
        <v/>
      </c>
      <c r="W4" s="11">
        <f>IF(V4="","",IF(V4&gt;=20,"Critical",IF(V4&gt;=10,"High",IF(V4&gt;=5,"Moderate","Low"))))</f>
        <v/>
      </c>
      <c r="X4" s="11" t="inlineStr">
        <is>
          <t>Treated (residual achieved; monitoring)</t>
        </is>
      </c>
      <c r="Y4" s="11" t="inlineStr">
        <is>
          <t>IA-2(1); IA-2(2); IA-2(8)</t>
        </is>
      </c>
      <c r="Z4" s="11" t="inlineStr">
        <is>
          <t>FIND-002</t>
        </is>
      </c>
      <c r="AA4" s="11" t="inlineStr">
        <is>
          <t>POAM-002</t>
        </is>
      </c>
      <c r="AB4" s="13" t="n">
        <v>46283</v>
      </c>
      <c r="AC4" s="12" t="inlineStr">
        <is>
          <t>L4: phishing is the leading initial-access vector. I5: federation reaches AWS prod and PHI.</t>
        </is>
      </c>
      <c r="AD4" s="12" t="inlineStr">
        <is>
          <t>L3: MFA covers 97%, a partial control. I5: an exempt Okta Super Admin could reach everything.</t>
        </is>
      </c>
      <c r="AE4" s="12" t="inlineStr">
        <is>
          <t>L2: no exemptions; phishing-resistant MFA for admins; token theft still possible. I4: least-privilege work narrows what one account reaches.</t>
        </is>
      </c>
    </row>
    <row r="5">
      <c r="A5" s="11" t="inlineStr">
        <is>
          <t>RISK-004</t>
        </is>
      </c>
      <c r="B5" s="12" t="inlineStr">
        <is>
          <t>Access creep from ineffective recertification</t>
        </is>
      </c>
      <c r="C5" s="12" t="inlineStr">
        <is>
          <t>Users accumulate access beyond need over time, increasing the blast radius of any compromise or misuse.</t>
        </is>
      </c>
      <c r="D5" s="12" t="inlineStr">
        <is>
          <t>Privileged and PHI entitlements across 9 systems</t>
        </is>
      </c>
      <c r="E5" s="12" t="inlineStr">
        <is>
          <t>Insider misuse; attacker leveraging over-privileged accounts</t>
        </is>
      </c>
      <c r="F5" s="12" t="inlineStr">
        <is>
          <t>Rubber-stamp reviews; privileged systems out of review scope; no re-baseline on transfer</t>
        </is>
      </c>
      <c r="G5" s="12" t="inlineStr">
        <is>
          <t>Quarterly Okta app certification (limited scope)</t>
        </is>
      </c>
      <c r="H5" s="11" t="n">
        <v>4</v>
      </c>
      <c r="I5" s="11" t="n">
        <v>3</v>
      </c>
      <c r="J5" s="11">
        <f>H5*I5</f>
        <v/>
      </c>
      <c r="K5" s="11">
        <f>IF(J5="","",IF(J5&gt;=20,"Critical",IF(J5&gt;=10,"High",IF(J5&gt;=5,"Moderate","Low"))))</f>
        <v/>
      </c>
      <c r="L5" s="11" t="n">
        <v>4</v>
      </c>
      <c r="M5" s="11" t="n">
        <v>3</v>
      </c>
      <c r="N5" s="11">
        <f>L5*M5</f>
        <v/>
      </c>
      <c r="O5" s="11">
        <f>IF(N5="","",IF(N5&gt;=20,"Critical",IF(N5&gt;=10,"High",IF(N5&gt;=5,"Moderate","Low"))))</f>
        <v/>
      </c>
      <c r="P5" s="11" t="inlineStr">
        <is>
          <t>Mitigate</t>
        </is>
      </c>
      <c r="Q5" s="12" t="inlineStr">
        <is>
          <t>Redesign certifications; transfer-triggered review (POAM-004)</t>
        </is>
      </c>
      <c r="R5" s="11" t="inlineStr">
        <is>
          <t>Alicia Moreno (CISO)</t>
        </is>
      </c>
      <c r="S5" s="13" t="n">
        <v>46326</v>
      </c>
      <c r="T5" s="11" t="n">
        <v>2</v>
      </c>
      <c r="U5" s="11" t="n">
        <v>3</v>
      </c>
      <c r="V5" s="11">
        <f>T5*U5</f>
        <v/>
      </c>
      <c r="W5" s="11">
        <f>IF(V5="","",IF(V5&gt;=20,"Critical",IF(V5&gt;=10,"High",IF(V5&gt;=5,"Moderate","Low"))))</f>
        <v/>
      </c>
      <c r="X5" s="11" t="inlineStr">
        <is>
          <t>Treatment in progress</t>
        </is>
      </c>
      <c r="Y5" s="11" t="inlineStr">
        <is>
          <t>AC-6(7); AC-2; PS-5</t>
        </is>
      </c>
      <c r="Z5" s="11" t="inlineStr">
        <is>
          <t>FIND-004; FIND-006</t>
        </is>
      </c>
      <c r="AA5" s="11" t="inlineStr">
        <is>
          <t>POAM-004</t>
        </is>
      </c>
      <c r="AB5" s="13" t="n">
        <v>46283</v>
      </c>
      <c r="AC5" s="12" t="inlineStr">
        <is>
          <t>L4: fast growth, transfers, and contractors make creep near-certain without review. I3: creep usually adds read access; worst credible case is fewer than 500 records.</t>
        </is>
      </c>
      <c r="AD5" s="12" t="inlineStr">
        <is>
          <t>L4: the review operated but was ineffective (100% approval, key systems excluded), so no credit. I3.</t>
        </is>
      </c>
      <c r="AE5" s="12" t="inlineStr">
        <is>
          <t>L2: full-scope campaigns with usage data and flagged items needing rationale. I3.</t>
        </is>
      </c>
    </row>
    <row r="6">
      <c r="A6" s="11" t="inlineStr">
        <is>
          <t>RISK-005</t>
        </is>
      </c>
      <c r="B6" s="12" t="inlineStr">
        <is>
          <t>Inability to detect or investigate PHI access</t>
        </is>
      </c>
      <c r="C6" s="12" t="inlineStr">
        <is>
          <t>Misuse goes unnoticed, or a breach found months later cannot be scoped, forcing presumptive notification of large patient populations.</t>
        </is>
      </c>
      <c r="D6" s="12" t="inlineStr">
        <is>
          <t>Audit logs (CloudTrail, application PHI-access audit, SIEM)</t>
        </is>
      </c>
      <c r="E6" s="12" t="inlineStr">
        <is>
          <t>Undetected insider or attacker activity; late-discovered breach</t>
        </is>
      </c>
      <c r="F6" s="12" t="inlineStr">
        <is>
          <t>90–180-day retention; inconsistent privileged-activity review</t>
        </is>
      </c>
      <c r="G6" s="12" t="inlineStr">
        <is>
          <t>Comprehensive event logging (AU-2); immutable log archive (AU-9); MDR alerting (SI-4)</t>
        </is>
      </c>
      <c r="H6" s="11" t="n">
        <v>3</v>
      </c>
      <c r="I6" s="11" t="n">
        <v>4</v>
      </c>
      <c r="J6" s="11">
        <f>H6*I6</f>
        <v/>
      </c>
      <c r="K6" s="11">
        <f>IF(J6="","",IF(J6&gt;=20,"Critical",IF(J6&gt;=10,"High",IF(J6&gt;=5,"Moderate","Low"))))</f>
        <v/>
      </c>
      <c r="L6" s="11" t="n">
        <v>3</v>
      </c>
      <c r="M6" s="11" t="n">
        <v>4</v>
      </c>
      <c r="N6" s="11">
        <f>L6*M6</f>
        <v/>
      </c>
      <c r="O6" s="11">
        <f>IF(N6="","",IF(N6&gt;=20,"Critical",IF(N6&gt;=10,"High",IF(N6&gt;=5,"Moderate","Low"))))</f>
        <v/>
      </c>
      <c r="P6" s="11" t="inlineStr">
        <is>
          <t>Mitigate</t>
        </is>
      </c>
      <c r="Q6" s="12" t="inlineStr">
        <is>
          <t>Extend retention (POAM-008, done); backup reviewer and escalation (POAM-009)</t>
        </is>
      </c>
      <c r="R6" s="11" t="inlineStr">
        <is>
          <t>Alicia Moreno (CISO)</t>
        </is>
      </c>
      <c r="S6" s="13" t="n">
        <v>46326</v>
      </c>
      <c r="T6" s="11" t="n">
        <v>2</v>
      </c>
      <c r="U6" s="11" t="n">
        <v>3</v>
      </c>
      <c r="V6" s="11">
        <f>T6*U6</f>
        <v/>
      </c>
      <c r="W6" s="11">
        <f>IF(V6="","",IF(V6&gt;=20,"Critical",IF(V6&gt;=10,"High",IF(V6&gt;=5,"Moderate","Low"))))</f>
        <v/>
      </c>
      <c r="X6" s="11" t="inlineStr">
        <is>
          <t>Treatment in progress</t>
        </is>
      </c>
      <c r="Y6" s="11" t="inlineStr">
        <is>
          <t>AU-6; AU-11; AU-2; AU-9</t>
        </is>
      </c>
      <c r="Z6" s="11" t="inlineStr">
        <is>
          <t>FIND-008; FIND-009</t>
        </is>
      </c>
      <c r="AA6" s="11" t="inlineStr">
        <is>
          <t>POAM-008; POAM-009</t>
        </is>
      </c>
      <c r="AB6" s="13" t="n">
        <v>46283</v>
      </c>
      <c r="AC6" s="12" t="inlineStr">
        <is>
          <t>L3: breaches are often discovered after 90+ days. I4: inability to scope means broad notification plus contract breach.</t>
        </is>
      </c>
      <c r="AD6" s="12" t="inlineStr">
        <is>
          <t>L3: logging is strong, but retention is short and 35% of weekly reviews were missed or incomplete. I4.</t>
        </is>
      </c>
      <c r="AE6" s="12" t="inlineStr">
        <is>
          <t>L2: 400-day retention plus a backup reviewer. I3: records now exist to scope and limit notification.</t>
        </is>
      </c>
    </row>
    <row r="7">
      <c r="A7" s="11" t="inlineStr">
        <is>
          <t>RISK-006</t>
        </is>
      </c>
      <c r="B7" s="12" t="inlineStr">
        <is>
          <t>Exploitation of unremediated vulnerabilities</t>
        </is>
      </c>
      <c r="C7" s="12" t="inlineStr">
        <is>
          <t>An attacker exploits a known, unpatched flaw in a production service or host to gain a foothold.</t>
        </is>
      </c>
      <c r="D7" s="12" t="inlineStr">
        <is>
          <t>Internet-facing services and container workloads</t>
        </is>
      </c>
      <c r="E7" s="12" t="inlineStr">
        <is>
          <t>Opportunistic exploitation of known CVEs; ransomware affiliates</t>
        </is>
      </c>
      <c r="F7" s="12" t="inlineStr">
        <is>
          <t>23% SLA misses; end-of-life runtimes; exception process unused</t>
        </is>
      </c>
      <c r="G7" s="12" t="inlineStr">
        <is>
          <t>WAF; weekly authenticated scanning; container image scanning; EDR; MDR</t>
        </is>
      </c>
      <c r="H7" s="11" t="n">
        <v>4</v>
      </c>
      <c r="I7" s="11" t="n">
        <v>5</v>
      </c>
      <c r="J7" s="11">
        <f>H7*I7</f>
        <v/>
      </c>
      <c r="K7" s="11">
        <f>IF(J7="","",IF(J7&gt;=20,"Critical",IF(J7&gt;=10,"High",IF(J7&gt;=5,"Moderate","Low"))))</f>
        <v/>
      </c>
      <c r="L7" s="11" t="n">
        <v>3</v>
      </c>
      <c r="M7" s="11" t="n">
        <v>4</v>
      </c>
      <c r="N7" s="11">
        <f>L7*M7</f>
        <v/>
      </c>
      <c r="O7" s="11">
        <f>IF(N7="","",IF(N7&gt;=20,"Critical",IF(N7&gt;=10,"High",IF(N7&gt;=5,"Moderate","Low"))))</f>
        <v/>
      </c>
      <c r="P7" s="11" t="inlineStr">
        <is>
          <t>Mitigate</t>
        </is>
      </c>
      <c r="Q7" s="12" t="inlineStr">
        <is>
          <t>Upgrade EOL runtimes; exception process; SLA reporting; tag enforcement (POAM-010)</t>
        </is>
      </c>
      <c r="R7" s="11" t="inlineStr">
        <is>
          <t>Grace Lindqvist (VP Engineering)</t>
        </is>
      </c>
      <c r="S7" s="13" t="n">
        <v>46331</v>
      </c>
      <c r="T7" s="11" t="n">
        <v>2</v>
      </c>
      <c r="U7" s="11" t="n">
        <v>4</v>
      </c>
      <c r="V7" s="11">
        <f>T7*U7</f>
        <v/>
      </c>
      <c r="W7" s="11">
        <f>IF(V7="","",IF(V7&gt;=20,"Critical",IF(V7&gt;=10,"High",IF(V7&gt;=5,"Moderate","Low"))))</f>
        <v/>
      </c>
      <c r="X7" s="11" t="inlineStr">
        <is>
          <t>Treatment in progress</t>
        </is>
      </c>
      <c r="Y7" s="11" t="inlineStr">
        <is>
          <t>RA-5; SI-2; CM-8</t>
        </is>
      </c>
      <c r="Z7" s="11" t="inlineStr">
        <is>
          <t>FIND-010</t>
        </is>
      </c>
      <c r="AA7" s="11" t="inlineStr">
        <is>
          <t>POAM-010</t>
        </is>
      </c>
      <c r="AB7" s="13" t="n">
        <v>46283</v>
      </c>
      <c r="AC7" s="12" t="inlineStr">
        <is>
          <t>L4: exploitation of known vulnerabilities is a top initial-access vector. I5: PHI platform compromise.</t>
        </is>
      </c>
      <c r="AD7" s="12" t="inlineStr">
        <is>
          <t>L3: scanning, WAF, and EDR are effective layers, but 6 items are open past SLA. I4: segmentation (private subnets) limits the blast radius from most workloads.</t>
        </is>
      </c>
      <c r="AE7" s="12" t="inlineStr">
        <is>
          <t>L2: SLA adherence with governed exceptions. I4: same architecture.</t>
        </is>
      </c>
    </row>
    <row r="8">
      <c r="A8" s="11" t="inlineStr">
        <is>
          <t>RISK-007</t>
        </is>
      </c>
      <c r="B8" s="12" t="inlineStr">
        <is>
          <t>Compromise of unsupported legacy components in the PHI path</t>
        </is>
      </c>
      <c r="C8" s="12" t="inlineStr">
        <is>
          <t>An attacker exploits an unpatchable flaw on the legacy SFTP host, which holds the nightly full-PHI extract, and pivots or exfiltrates.</t>
        </is>
      </c>
      <c r="D8" s="12" t="inlineStr">
        <is>
          <t>wf-sftp-01 (Windows 2012 R2), legacy-reports (PostgreSQL 11), notify-worker (Node 16)</t>
        </is>
      </c>
      <c r="E8" s="12" t="inlineStr">
        <is>
          <t>Exploitation of unpatchable flaws; ransomware</t>
        </is>
      </c>
      <c r="F8" s="12" t="inlineStr">
        <is>
          <t>No vendor patches; host previously exposed via internet-facing RDP</t>
        </is>
      </c>
      <c r="G8" s="12" t="inlineStr">
        <is>
          <t>EDR; SFTP source allowlist; weekly scanning; SSM-only admin (after FIND-012 fix)</t>
        </is>
      </c>
      <c r="H8" s="11" t="n">
        <v>4</v>
      </c>
      <c r="I8" s="11" t="n">
        <v>4</v>
      </c>
      <c r="J8" s="11">
        <f>H8*I8</f>
        <v/>
      </c>
      <c r="K8" s="11">
        <f>IF(J8="","",IF(J8&gt;=20,"Critical",IF(J8&gt;=10,"High",IF(J8&gt;=5,"Moderate","Low"))))</f>
        <v/>
      </c>
      <c r="L8" s="11" t="n">
        <v>3</v>
      </c>
      <c r="M8" s="11" t="n">
        <v>4</v>
      </c>
      <c r="N8" s="11">
        <f>L8*M8</f>
        <v/>
      </c>
      <c r="O8" s="11">
        <f>IF(N8="","",IF(N8&gt;=20,"Critical",IF(N8&gt;=10,"High",IF(N8&gt;=5,"Moderate","Low"))))</f>
        <v/>
      </c>
      <c r="P8" s="11" t="inlineStr">
        <is>
          <t>Avoid</t>
        </is>
      </c>
      <c r="Q8" s="12" t="inlineStr">
        <is>
          <t>Decommission wf-sftp-01 and legacy-reports; upgrade notify-worker (POAM-011)</t>
        </is>
      </c>
      <c r="R8" s="11" t="inlineStr">
        <is>
          <t>Samir Haddad (CTO)</t>
        </is>
      </c>
      <c r="S8" s="13" t="n">
        <v>46371</v>
      </c>
      <c r="T8" s="11" t="n">
        <v>1</v>
      </c>
      <c r="U8" s="11" t="n">
        <v>4</v>
      </c>
      <c r="V8" s="11">
        <f>T8*U8</f>
        <v/>
      </c>
      <c r="W8" s="11">
        <f>IF(V8="","",IF(V8&gt;=20,"Critical",IF(V8&gt;=10,"High",IF(V8&gt;=5,"Moderate","Low"))))</f>
        <v/>
      </c>
      <c r="X8" s="11" t="inlineStr">
        <is>
          <t>Treatment in progress (delayed)</t>
        </is>
      </c>
      <c r="Y8" s="11" t="inlineStr">
        <is>
          <t>SA-22; SC-7; CM-6; SI-2</t>
        </is>
      </c>
      <c r="Z8" s="11" t="inlineStr">
        <is>
          <t>FIND-011; FIND-012</t>
        </is>
      </c>
      <c r="AA8" s="11" t="inlineStr">
        <is>
          <t>POAM-011; POAM-012</t>
        </is>
      </c>
      <c r="AB8" s="13" t="n">
        <v>46283</v>
      </c>
      <c r="AC8" s="12" t="inlineStr">
        <is>
          <t>L4: unsupported, internet-reachable Windows host. I4: a full-PHI extract sits there transiently (worst credible case is one night's file, bounded).</t>
        </is>
      </c>
      <c r="AD8" s="12" t="inlineStr">
        <is>
          <t>L3: RDP closed, allowlist and EDR in place, but no patches. I4.</t>
        </is>
      </c>
      <c r="AE8" s="12" t="inlineStr">
        <is>
          <t>L1: components decommissioned (Avoid). I4 kept, because the managed-transfer replacement still moves the same data.</t>
        </is>
      </c>
    </row>
    <row r="9">
      <c r="A9" s="11" t="inlineStr">
        <is>
          <t>RISK-008</t>
        </is>
      </c>
      <c r="B9" s="12" t="inlineStr">
        <is>
          <t>Failed or slow recovery from ransomware or data corruption</t>
        </is>
      </c>
      <c r="C9" s="12" t="inlineStr">
        <is>
          <t>A destructive event forces recovery, and recovery takes longer than RTO or loses data because the process was never exercised.</t>
        </is>
      </c>
      <c r="D9" s="12" t="inlineStr">
        <is>
          <t>wcp-core-db and WCP services</t>
        </is>
      </c>
      <c r="E9" s="12" t="inlineStr">
        <is>
          <t>Ransomware; destructive insider; data corruption</t>
        </is>
      </c>
      <c r="F9" s="12" t="inlineStr">
        <is>
          <t>Restore never tested (at fieldwork); contingency plan untested</t>
        </is>
      </c>
      <c r="G9" s="12" t="inlineStr">
        <is>
          <t>PITR (35 days); cross-region, cross-account backups with Vault Lock; BC/DR plan</t>
        </is>
      </c>
      <c r="H9" s="11" t="n">
        <v>3</v>
      </c>
      <c r="I9" s="11" t="n">
        <v>5</v>
      </c>
      <c r="J9" s="11">
        <f>H9*I9</f>
        <v/>
      </c>
      <c r="K9" s="11">
        <f>IF(J9="","",IF(J9&gt;=20,"Critical",IF(J9&gt;=10,"High",IF(J9&gt;=5,"Moderate","Low"))))</f>
        <v/>
      </c>
      <c r="L9" s="11" t="n">
        <v>2</v>
      </c>
      <c r="M9" s="11" t="n">
        <v>5</v>
      </c>
      <c r="N9" s="11">
        <f>L9*M9</f>
        <v/>
      </c>
      <c r="O9" s="11">
        <f>IF(N9="","",IF(N9&gt;=20,"Critical",IF(N9&gt;=10,"High",IF(N9&gt;=5,"Moderate","Low"))))</f>
        <v/>
      </c>
      <c r="P9" s="11" t="inlineStr">
        <is>
          <t>Mitigate</t>
        </is>
      </c>
      <c r="Q9" s="12" t="inlineStr">
        <is>
          <t>Semi-annual restore tests (POAM-013, done); CP exercise (POAM-014)</t>
        </is>
      </c>
      <c r="R9" s="11" t="inlineStr">
        <is>
          <t>Samir Haddad (CTO)</t>
        </is>
      </c>
      <c r="S9" s="13" t="n">
        <v>46341</v>
      </c>
      <c r="T9" s="11" t="n">
        <v>2</v>
      </c>
      <c r="U9" s="11" t="n">
        <v>4</v>
      </c>
      <c r="V9" s="11">
        <f>T9*U9</f>
        <v/>
      </c>
      <c r="W9" s="11">
        <f>IF(V9="","",IF(V9&gt;=20,"Critical",IF(V9&gt;=10,"High",IF(V9&gt;=5,"Moderate","Low"))))</f>
        <v/>
      </c>
      <c r="X9" s="11" t="inlineStr">
        <is>
          <t>Treatment in progress</t>
        </is>
      </c>
      <c r="Y9" s="11" t="inlineStr">
        <is>
          <t>CP-2; CP-4; CP-9; CP-9(1)</t>
        </is>
      </c>
      <c r="Z9" s="11" t="inlineStr">
        <is>
          <t>FIND-013; FIND-014</t>
        </is>
      </c>
      <c r="AA9" s="11" t="inlineStr">
        <is>
          <t>POAM-013; POAM-014</t>
        </is>
      </c>
      <c r="AB9" s="13" t="n">
        <v>46283</v>
      </c>
      <c r="AC9" s="12" t="inlineStr">
        <is>
          <t>L3: healthcare ransomware frequency. I5: outage over 24h for clinical workflows.</t>
        </is>
      </c>
      <c r="AD9" s="12" t="inlineStr">
        <is>
          <t>L2: strong, immutable backups reduce the chance of an unrecoverable event. I5: recovery time was unproven.</t>
        </is>
      </c>
      <c r="AE9" s="12" t="inlineStr">
        <is>
          <t>L2. I4: restore proven at 3h41m (within the 4h RTO); a full contingency exercise is pending (POAM-014).</t>
        </is>
      </c>
    </row>
    <row r="10">
      <c r="A10" s="11" t="inlineStr">
        <is>
          <t>RISK-009</t>
        </is>
      </c>
      <c r="B10" s="12" t="inlineStr">
        <is>
          <t>Delayed or ineffective response to a major incident</t>
        </is>
      </c>
      <c r="C10" s="12" t="inlineStr">
        <is>
          <t>During a major incident, unclear roles or notification steps delay containment or cause a missed contractual or regulatory notification deadline.</t>
        </is>
      </c>
      <c r="D10" s="12" t="inlineStr">
        <is>
          <t>Incident response capability and notification obligations</t>
        </is>
      </c>
      <c r="E10" s="12" t="inlineStr">
        <is>
          <t>Major incident (ransomware, large PHI breach) stressing untested processes</t>
        </is>
      </c>
      <c r="F10" s="12" t="inlineStr">
        <is>
          <t>No IR exercise in 21 months; SHCA 24h path never rehearsed</t>
        </is>
      </c>
      <c r="G10" s="12" t="inlineStr">
        <is>
          <t>IRP-005 (current); 24x7 MDR; incidents in H1 handled well (IR-4 satisfied)</t>
        </is>
      </c>
      <c r="H10" s="11" t="n">
        <v>3</v>
      </c>
      <c r="I10" s="11" t="n">
        <v>4</v>
      </c>
      <c r="J10" s="11">
        <f>H10*I10</f>
        <v/>
      </c>
      <c r="K10" s="11">
        <f>IF(J10="","",IF(J10&gt;=20,"Critical",IF(J10&gt;=10,"High",IF(J10&gt;=5,"Moderate","Low"))))</f>
        <v/>
      </c>
      <c r="L10" s="11" t="n">
        <v>3</v>
      </c>
      <c r="M10" s="11" t="n">
        <v>4</v>
      </c>
      <c r="N10" s="11">
        <f>L10*M10</f>
        <v/>
      </c>
      <c r="O10" s="11">
        <f>IF(N10="","",IF(N10&gt;=20,"Critical",IF(N10&gt;=10,"High",IF(N10&gt;=5,"Moderate","Low"))))</f>
        <v/>
      </c>
      <c r="P10" s="11" t="inlineStr">
        <is>
          <t>Mitigate</t>
        </is>
      </c>
      <c r="Q10" s="12" t="inlineStr">
        <is>
          <t>Ransomware tabletop and plan update (POAM-014)</t>
        </is>
      </c>
      <c r="R10" s="11" t="inlineStr">
        <is>
          <t>Alicia Moreno (CISO)</t>
        </is>
      </c>
      <c r="S10" s="13" t="n">
        <v>46341</v>
      </c>
      <c r="T10" s="11" t="n">
        <v>2</v>
      </c>
      <c r="U10" s="11" t="n">
        <v>3</v>
      </c>
      <c r="V10" s="11">
        <f>T10*U10</f>
        <v/>
      </c>
      <c r="W10" s="11">
        <f>IF(V10="","",IF(V10&gt;=20,"Critical",IF(V10&gt;=10,"High",IF(V10&gt;=5,"Moderate","Low"))))</f>
        <v/>
      </c>
      <c r="X10" s="11" t="inlineStr">
        <is>
          <t>Treatment in progress</t>
        </is>
      </c>
      <c r="Y10" s="11" t="inlineStr">
        <is>
          <t>IR-3; IR-4; IR-6; IR-8</t>
        </is>
      </c>
      <c r="Z10" s="11" t="inlineStr">
        <is>
          <t>FIND-014</t>
        </is>
      </c>
      <c r="AA10" s="11" t="inlineStr">
        <is>
          <t>POAM-014</t>
        </is>
      </c>
      <c r="AB10" s="13" t="n">
        <v>46283</v>
      </c>
      <c r="AC10" s="12" t="inlineStr">
        <is>
          <t>L3: at least one significant incident per year is plausible. I4: missed notification means a contract breach and regulatory scrutiny.</t>
        </is>
      </c>
      <c r="AD10" s="12" t="inlineStr">
        <is>
          <t>L3: good day-to-day handling, but major-incident paths are untested. I4.</t>
        </is>
      </c>
      <c r="AE10" s="12" t="inlineStr">
        <is>
          <t>L2: rehearsed plan with the SHCA step. I3: faster, coordinated response limits impact.</t>
        </is>
      </c>
    </row>
    <row r="11">
      <c r="A11" s="11" t="inlineStr">
        <is>
          <t>RISK-010</t>
        </is>
      </c>
      <c r="B11" s="12" t="inlineStr">
        <is>
          <t>PHI exposure through the analytics vendor (Quarrystone)</t>
        </is>
      </c>
      <c r="C11" s="12" t="inlineStr">
        <is>
          <t>A breach at Quarrystone or its offshore subcontractor exposes Wrenfield PHI, and notice arrives too late for Wrenfield to meet 24h or 5-day obligations.</t>
        </is>
      </c>
      <c r="D11" s="12" t="inlineStr">
        <is>
          <t>Nightly full-PHI extract (about 410k patients) processed by Quarrystone and its subcontractors</t>
        </is>
      </c>
      <c r="E11" s="12" t="inlineStr">
        <is>
          <t>Vendor or subcontractor breach; unauthorized offshore access; delayed breach notice</t>
        </is>
      </c>
      <c r="F11" s="12" t="inlineStr">
        <is>
          <t>Offshore subcontractor access; 30-day notice term; excess data fields; stale pentest</t>
        </is>
      </c>
      <c r="G11" s="12" t="inlineStr">
        <is>
          <t>BAA; SOC 2 Type II (unqualified); encryption in transit and at rest; interim suspension of offshore access (2026-07-24)</t>
        </is>
      </c>
      <c r="H11" s="11" t="n">
        <v>4</v>
      </c>
      <c r="I11" s="11" t="n">
        <v>5</v>
      </c>
      <c r="J11" s="11">
        <f>H11*I11</f>
        <v/>
      </c>
      <c r="K11" s="11">
        <f>IF(J11="","",IF(J11&gt;=20,"Critical",IF(J11&gt;=10,"High",IF(J11&gt;=5,"Moderate","Low"))))</f>
        <v/>
      </c>
      <c r="L11" s="11" t="n">
        <v>3</v>
      </c>
      <c r="M11" s="11" t="n">
        <v>5</v>
      </c>
      <c r="N11" s="11">
        <f>L11*M11</f>
        <v/>
      </c>
      <c r="O11" s="11">
        <f>IF(N11="","",IF(N11&gt;=20,"Critical",IF(N11&gt;=10,"High",IF(N11&gt;=5,"Moderate","Low"))))</f>
        <v/>
      </c>
      <c r="P11" s="11" t="inlineStr">
        <is>
          <t>Mitigate</t>
        </is>
      </c>
      <c r="Q11" s="12" t="inlineStr">
        <is>
          <t>Contract amendment; data minimization; pentest and retest; monitoring plan (POAM-016). Transfer (partial) through cyber insurance and vendor indemnity.</t>
        </is>
      </c>
      <c r="R11" s="11" t="inlineStr">
        <is>
          <t>Dr. Miriam Castell (VP Clinical Analytics)</t>
        </is>
      </c>
      <c r="S11" s="13" t="n">
        <v>46331</v>
      </c>
      <c r="T11" s="11" t="n">
        <v>2</v>
      </c>
      <c r="U11" s="11" t="n">
        <v>4</v>
      </c>
      <c r="V11" s="11">
        <f>T11*U11</f>
        <v/>
      </c>
      <c r="W11" s="11">
        <f>IF(V11="","",IF(V11&gt;=20,"Critical",IF(V11&gt;=10,"High",IF(V11&gt;=5,"Moderate","Low"))))</f>
        <v/>
      </c>
      <c r="X11" s="11" t="inlineStr">
        <is>
          <t>Treatment in progress</t>
        </is>
      </c>
      <c r="Y11" s="11" t="inlineStr">
        <is>
          <t>SA-9; SR-6; CA-3</t>
        </is>
      </c>
      <c r="Z11" s="11" t="inlineStr">
        <is>
          <t>FIND-016; FIND-015</t>
        </is>
      </c>
      <c r="AA11" s="11" t="inlineStr">
        <is>
          <t>POAM-016; POAM-015</t>
        </is>
      </c>
      <c r="AB11" s="13" t="n">
        <v>46283</v>
      </c>
      <c r="AC11" s="12" t="inlineStr">
        <is>
          <t>L4: third-party breaches are frequent in healthcare, and an undisclosed offshore party was present. I5: &gt;50k records plus SHCA contract loss.</t>
        </is>
      </c>
      <c r="AD11" s="12" t="inlineStr">
        <is>
          <t>L3: vendor controls are generally mature (SOC 2, encryption) and offshore access is suspended, but the contract terms are unchanged. I5.</t>
        </is>
      </c>
      <c r="AE11" s="12" t="inlineStr">
        <is>
          <t>L2: contractual US-only with technical enforcement, 24h notice, and current pentest. I4: minimized extract (no contact details or free text) reduces the records and sensitivity exposed.</t>
        </is>
      </c>
    </row>
    <row r="12">
      <c r="A12" s="11" t="inlineStr">
        <is>
          <t>RISK-011</t>
        </is>
      </c>
      <c r="B12" s="12" t="inlineStr">
        <is>
          <t>Software or vendor supply-chain compromise</t>
        </is>
      </c>
      <c r="C12" s="12" t="inlineStr">
        <is>
          <t>A compromised dependency or vendor integration introduces malicious code or access into WCP.</t>
        </is>
      </c>
      <c r="D12" s="12" t="inlineStr">
        <is>
          <t>CI/CD pipeline, open-source dependencies, vendor integrations</t>
        </is>
      </c>
      <c r="E12" s="12" t="inlineStr">
        <is>
          <t>Malicious dependency or compromised vendor update or integration</t>
        </is>
      </c>
      <c r="F12" s="12" t="inlineStr">
        <is>
          <t>No C-SCRM plan; no fourth-party inventory; 5 vendors overdue for review</t>
        </is>
      </c>
      <c r="G12" s="12" t="inlineStr">
        <is>
          <t>Dependency scanning; branch protection and required review; OIDC deploy (no static keys); pinned base images</t>
        </is>
      </c>
      <c r="H12" s="11" t="n">
        <v>3</v>
      </c>
      <c r="I12" s="11" t="n">
        <v>5</v>
      </c>
      <c r="J12" s="11">
        <f>H12*I12</f>
        <v/>
      </c>
      <c r="K12" s="11">
        <f>IF(J12="","",IF(J12&gt;=20,"Critical",IF(J12&gt;=10,"High",IF(J12&gt;=5,"Moderate","Low"))))</f>
        <v/>
      </c>
      <c r="L12" s="11" t="n">
        <v>3</v>
      </c>
      <c r="M12" s="11" t="n">
        <v>4</v>
      </c>
      <c r="N12" s="11">
        <f>L12*M12</f>
        <v/>
      </c>
      <c r="O12" s="11">
        <f>IF(N12="","",IF(N12&gt;=20,"Critical",IF(N12&gt;=10,"High",IF(N12&gt;=5,"Moderate","Low"))))</f>
        <v/>
      </c>
      <c r="P12" s="11" t="inlineStr">
        <is>
          <t>Mitigate</t>
        </is>
      </c>
      <c r="Q12" s="12" t="inlineStr">
        <is>
          <t>C-SCRM plan; clear the vendor backlog; fourth-party inventory (POAM-015)</t>
        </is>
      </c>
      <c r="R12" s="11" t="inlineStr">
        <is>
          <t>Beth Kowalski (Vendor Management Lead)</t>
        </is>
      </c>
      <c r="S12" s="13" t="n">
        <v>46421</v>
      </c>
      <c r="T12" s="11" t="n">
        <v>2</v>
      </c>
      <c r="U12" s="11" t="n">
        <v>4</v>
      </c>
      <c r="V12" s="11">
        <f>T12*U12</f>
        <v/>
      </c>
      <c r="W12" s="11">
        <f>IF(V12="","",IF(V12&gt;=20,"Critical",IF(V12&gt;=10,"High",IF(V12&gt;=5,"Moderate","Low"))))</f>
        <v/>
      </c>
      <c r="X12" s="11" t="inlineStr">
        <is>
          <t>Treatment in progress</t>
        </is>
      </c>
      <c r="Y12" s="11" t="inlineStr">
        <is>
          <t>SR-2; SR-6; SA-9</t>
        </is>
      </c>
      <c r="Z12" s="11" t="inlineStr">
        <is>
          <t>FIND-015</t>
        </is>
      </c>
      <c r="AA12" s="11" t="inlineStr">
        <is>
          <t>POAM-015</t>
        </is>
      </c>
      <c r="AB12" s="13" t="n">
        <v>46283</v>
      </c>
      <c r="AC12" s="12" t="inlineStr">
        <is>
          <t>L3: supply-chain attacks are increasing. I5: code execution in the PHI platform.</t>
        </is>
      </c>
      <c r="AD12" s="12" t="inlineStr">
        <is>
          <t>L3: good pipeline hygiene, but no program-level supply chain risk management. I4: OIDC and least-privilege deploy roles limit what a compromised pipeline can reach.</t>
        </is>
      </c>
      <c r="AE12" s="12" t="inlineStr">
        <is>
          <t>L2: C-SCRM plan, current vendor reviews, fourth-party visibility. I4.</t>
        </is>
      </c>
    </row>
    <row r="13">
      <c r="A13" s="11" t="inlineStr">
        <is>
          <t>RISK-012</t>
        </is>
      </c>
      <c r="B13" s="12" t="inlineStr">
        <is>
          <t>Cloud misconfiguration exposing PHI or admin services</t>
        </is>
      </c>
      <c r="C13" s="12" t="inlineStr">
        <is>
          <t>A manual misconfiguration (an open port, a public resource) exposes PHI or an admin interface to the internet.</t>
        </is>
      </c>
      <c r="D13" s="12" t="inlineStr">
        <is>
          <t>AWS wcp-prod network and storage configuration</t>
        </is>
      </c>
      <c r="E13" s="12" t="inlineStr">
        <is>
          <t>Opportunistic internet scanning; misconfiguration exploited by attackers</t>
        </is>
      </c>
      <c r="F13" s="12" t="inlineStr">
        <is>
          <t>Console changes bypass IaC; CSPM findings not routed to on-call</t>
        </is>
      </c>
      <c r="G13" s="12" t="inlineStr">
        <is>
          <t>Org-wide S3 Block Public Access (SCP); encryption by default; Security Hub CIS checks; IaC for most resources</t>
        </is>
      </c>
      <c r="H13" s="11" t="n">
        <v>4</v>
      </c>
      <c r="I13" s="11" t="n">
        <v>5</v>
      </c>
      <c r="J13" s="11">
        <f>H13*I13</f>
        <v/>
      </c>
      <c r="K13" s="11">
        <f>IF(J13="","",IF(J13&gt;=20,"Critical",IF(J13&gt;=10,"High",IF(J13&gt;=5,"Moderate","Low"))))</f>
        <v/>
      </c>
      <c r="L13" s="11" t="n">
        <v>2</v>
      </c>
      <c r="M13" s="11" t="n">
        <v>5</v>
      </c>
      <c r="N13" s="11">
        <f>L13*M13</f>
        <v/>
      </c>
      <c r="O13" s="11">
        <f>IF(N13="","",IF(N13&gt;=20,"Critical",IF(N13&gt;=10,"High",IF(N13&gt;=5,"Moderate","Low"))))</f>
        <v/>
      </c>
      <c r="P13" s="11" t="inlineStr">
        <is>
          <t>Mitigate</t>
        </is>
      </c>
      <c r="Q13" s="12" t="inlineStr">
        <is>
          <t>Route CSPM to on-call; admin-port guardrail; emergency change auto-revert (POAM-012, POAM-018)</t>
        </is>
      </c>
      <c r="R13" s="11" t="inlineStr">
        <is>
          <t>Tomasz Wierzbicki (Director, Platform Engineering)</t>
        </is>
      </c>
      <c r="S13" s="13" t="n">
        <v>46276</v>
      </c>
      <c r="T13" s="11" t="n">
        <v>2</v>
      </c>
      <c r="U13" s="11" t="n">
        <v>4</v>
      </c>
      <c r="V13" s="11">
        <f>T13*U13</f>
        <v/>
      </c>
      <c r="W13" s="11">
        <f>IF(V13="","",IF(V13&gt;=20,"Critical",IF(V13&gt;=10,"High",IF(V13&gt;=5,"Moderate","Low"))))</f>
        <v/>
      </c>
      <c r="X13" s="11" t="inlineStr">
        <is>
          <t>Treatment in progress</t>
        </is>
      </c>
      <c r="Y13" s="11" t="inlineStr">
        <is>
          <t>CM-2; CM-6; SC-7; SC-28</t>
        </is>
      </c>
      <c r="Z13" s="11" t="inlineStr">
        <is>
          <t>FIND-012</t>
        </is>
      </c>
      <c r="AA13" s="11" t="inlineStr">
        <is>
          <t>POAM-012</t>
        </is>
      </c>
      <c r="AB13" s="13" t="n">
        <v>46283</v>
      </c>
      <c r="AC13" s="12" t="inlineStr">
        <is>
          <t>L4: misconfiguration is a leading cloud breach cause. I5: public PHI exposure.</t>
        </is>
      </c>
      <c r="AD13" s="12" t="inlineStr">
        <is>
          <t>L2: strong preventive guardrails for data stores (block public access, encryption). The observed exposure was an admin port, not data. I5: remains the worst credible case.</t>
        </is>
      </c>
      <c r="AE13" s="12" t="inlineStr">
        <is>
          <t>L2: CSPM routed to on-call plus SCP guardrails on admin ports. I4: guardrails prevent the most severe (data-store) exposures.</t>
        </is>
      </c>
    </row>
    <row r="14">
      <c r="A14" s="11" t="inlineStr">
        <is>
          <t>RISK-013</t>
        </is>
      </c>
      <c r="B14" s="12" t="inlineStr">
        <is>
          <t>Fraudulent vendor payment through an SoD conflict</t>
        </is>
      </c>
      <c r="C14" s="12" t="inlineStr">
        <is>
          <t>A user alters vendor bank details and approves payments to an attacker-controlled account.</t>
        </is>
      </c>
      <c r="D14" s="12" t="inlineStr">
        <is>
          <t>Ledgerline vendor master and payments</t>
        </is>
      </c>
      <c r="E14" s="12" t="inlineStr">
        <is>
          <t>Insider fraud or coerced insider (business email compromise)</t>
        </is>
      </c>
      <c r="F14" s="12" t="inlineStr">
        <is>
          <t>One user holds vendor-master maintenance and payment approval (≤ $25k)</t>
        </is>
      </c>
      <c r="G14" s="12" t="inlineStr">
        <is>
          <t>Compensating: monthly vendor-master change report reviewed by the Controller; callback verification of bank-detail changes; payments over $25k need CFO approval</t>
        </is>
      </c>
      <c r="H14" s="11" t="n">
        <v>3</v>
      </c>
      <c r="I14" s="11" t="n">
        <v>3</v>
      </c>
      <c r="J14" s="11">
        <f>H14*I14</f>
        <v/>
      </c>
      <c r="K14" s="11">
        <f>IF(J14="","",IF(J14&gt;=20,"Critical",IF(J14&gt;=10,"High",IF(J14&gt;=5,"Moderate","Low"))))</f>
        <v/>
      </c>
      <c r="L14" s="11" t="n">
        <v>2</v>
      </c>
      <c r="M14" s="11" t="n">
        <v>3</v>
      </c>
      <c r="N14" s="11">
        <f>L14*M14</f>
        <v/>
      </c>
      <c r="O14" s="11">
        <f>IF(N14="","",IF(N14&gt;=20,"Critical",IF(N14&gt;=10,"High",IF(N14&gt;=5,"Moderate","Low"))))</f>
        <v/>
      </c>
      <c r="P14" s="11" t="inlineStr">
        <is>
          <t>Accept</t>
        </is>
      </c>
      <c r="Q14" s="12" t="inlineStr">
        <is>
          <t>RACC-001 risk acceptance with compensating control; split roles at AP backfill (POAM-007)</t>
        </is>
      </c>
      <c r="R14" s="11" t="inlineStr">
        <is>
          <t>Raymond Okafor (CFO)</t>
        </is>
      </c>
      <c r="S14" s="13" t="n">
        <v>46477</v>
      </c>
      <c r="T14" s="11" t="n">
        <v>2</v>
      </c>
      <c r="U14" s="11" t="n">
        <v>3</v>
      </c>
      <c r="V14" s="11">
        <f>T14*U14</f>
        <v/>
      </c>
      <c r="W14" s="11">
        <f>IF(V14="","",IF(V14&gt;=20,"Critical",IF(V14&gt;=10,"High",IF(V14&gt;=5,"Moderate","Low"))))</f>
        <v/>
      </c>
      <c r="X14" s="11" t="inlineStr">
        <is>
          <t>Accepted (RACC-001, expires 2027-03-31)</t>
        </is>
      </c>
      <c r="Y14" s="11" t="inlineStr">
        <is>
          <t>AC-5</t>
        </is>
      </c>
      <c r="Z14" s="11" t="inlineStr">
        <is>
          <t>FIND-007</t>
        </is>
      </c>
      <c r="AA14" s="11" t="inlineStr">
        <is>
          <t>POAM-007</t>
        </is>
      </c>
      <c r="AB14" s="13" t="n">
        <v>46283</v>
      </c>
      <c r="AC14" s="12" t="inlineStr">
        <is>
          <t>L3: BEC-driven bank-change fraud is common. I3: bounded by the $25k approval limit and monthly detection (worst credible case $100k–500k over a month).</t>
        </is>
      </c>
      <c r="AD14" s="12" t="inlineStr">
        <is>
          <t>L2: the compensating review operated 6 of 6 months, plus callbacks. I3.</t>
        </is>
      </c>
      <c r="AE14" s="12" t="inlineStr">
        <is>
          <t>L2. I3: accepted with the compensating control until the roles are split.</t>
        </is>
      </c>
    </row>
    <row r="15">
      <c r="A15" s="11" t="inlineStr">
        <is>
          <t>RISK-014</t>
        </is>
      </c>
      <c r="B15" s="12" t="inlineStr">
        <is>
          <t>Unauthorized or untested changes cause an outage or security regression</t>
        </is>
      </c>
      <c r="C15" s="12" t="inlineStr">
        <is>
          <t>An emergency or console change is made without review and introduces an outage or exposure (FIND-012 is a realized example).</t>
        </is>
      </c>
      <c r="D15" s="12" t="inlineStr">
        <is>
          <t>WCP production configuration</t>
        </is>
      </c>
      <c r="E15" s="12" t="inlineStr">
        <is>
          <t>Human error under time pressure; unreviewed emergency changes</t>
        </is>
      </c>
      <c r="F15" s="12" t="inlineStr">
        <is>
          <t>Emergency and console change paths lack enforced approval and revert</t>
        </is>
      </c>
      <c r="G15" s="12" t="inlineStr">
        <is>
          <t>PR review and CI for code and IaC; protected deploy environments</t>
        </is>
      </c>
      <c r="H15" s="11" t="n">
        <v>3</v>
      </c>
      <c r="I15" s="11" t="n">
        <v>4</v>
      </c>
      <c r="J15" s="11">
        <f>H15*I15</f>
        <v/>
      </c>
      <c r="K15" s="11">
        <f>IF(J15="","",IF(J15&gt;=20,"Critical",IF(J15&gt;=10,"High",IF(J15&gt;=5,"Moderate","Low"))))</f>
        <v/>
      </c>
      <c r="L15" s="11" t="n">
        <v>2</v>
      </c>
      <c r="M15" s="11" t="n">
        <v>4</v>
      </c>
      <c r="N15" s="11">
        <f>L15*M15</f>
        <v/>
      </c>
      <c r="O15" s="11">
        <f>IF(N15="","",IF(N15&gt;=20,"Critical",IF(N15&gt;=10,"High",IF(N15&gt;=5,"Moderate","Low"))))</f>
        <v/>
      </c>
      <c r="P15" s="11" t="inlineStr">
        <is>
          <t>Mitigate</t>
        </is>
      </c>
      <c r="Q15" s="12" t="inlineStr">
        <is>
          <t>Retro-approval automation; console-change alerts (POAM-018)</t>
        </is>
      </c>
      <c r="R15" s="11" t="inlineStr">
        <is>
          <t>Tomasz Wierzbicki (Director, Platform Engineering)</t>
        </is>
      </c>
      <c r="S15" s="13" t="n">
        <v>46276</v>
      </c>
      <c r="T15" s="11" t="n">
        <v>2</v>
      </c>
      <c r="U15" s="11" t="n">
        <v>3</v>
      </c>
      <c r="V15" s="11">
        <f>T15*U15</f>
        <v/>
      </c>
      <c r="W15" s="11">
        <f>IF(V15="","",IF(V15&gt;=20,"Critical",IF(V15&gt;=10,"High",IF(V15&gt;=5,"Moderate","Low"))))</f>
        <v/>
      </c>
      <c r="X15" s="11" t="inlineStr">
        <is>
          <t>Treatment in progress (overdue)</t>
        </is>
      </c>
      <c r="Y15" s="11" t="inlineStr">
        <is>
          <t>CM-3</t>
        </is>
      </c>
      <c r="Z15" s="11" t="inlineStr">
        <is>
          <t>FIND-018</t>
        </is>
      </c>
      <c r="AA15" s="11" t="inlineStr">
        <is>
          <t>POAM-018</t>
        </is>
      </c>
      <c r="AB15" s="13" t="n">
        <v>46283</v>
      </c>
      <c r="AC15" s="12" t="inlineStr">
        <is>
          <t>L3: frequent changes. I4: multi-hour outage or exposure.</t>
        </is>
      </c>
      <c r="AD15" s="12" t="inlineStr">
        <is>
          <t>L2: 22 of 25 sampled changes were compliant; the pipeline is strong. I4: realized once (FIND-012).</t>
        </is>
      </c>
      <c r="AE15" s="12" t="inlineStr">
        <is>
          <t>L2. I3: console-change alerting and auto-revert shorten the exposure window.</t>
        </is>
      </c>
    </row>
    <row r="16">
      <c r="A16" s="11" t="inlineStr">
        <is>
          <t>RISK-015</t>
        </is>
      </c>
      <c r="B16" s="12" t="inlineStr">
        <is>
          <t>Phishing and social engineering of the workforce</t>
        </is>
      </c>
      <c r="C16" s="12" t="inlineStr">
        <is>
          <t>A user is tricked into disclosing credentials, approving a push, or sending PHI or payments to an attacker.</t>
        </is>
      </c>
      <c r="D16" s="12" t="inlineStr">
        <is>
          <t>Workforce identities and endpoints</t>
        </is>
      </c>
      <c r="E16" s="12" t="inlineStr">
        <is>
          <t>Phishing, help-desk social engineering, BEC</t>
        </is>
      </c>
      <c r="F16" s="12" t="inlineStr">
        <is>
          <t>9% training non-completion (at fieldwork); human error</t>
        </is>
      </c>
      <c r="G16" s="12" t="inlineStr">
        <is>
          <t>MFA with number challenge; email security; phishing simulations (4.3% click rate); help-desk identity verification; EDR</t>
        </is>
      </c>
      <c r="H16" s="11" t="n">
        <v>5</v>
      </c>
      <c r="I16" s="11" t="n">
        <v>4</v>
      </c>
      <c r="J16" s="11">
        <f>H16*I16</f>
        <v/>
      </c>
      <c r="K16" s="11">
        <f>IF(J16="","",IF(J16&gt;=20,"Critical",IF(J16&gt;=10,"High",IF(J16&gt;=5,"Moderate","Low"))))</f>
        <v/>
      </c>
      <c r="L16" s="11" t="n">
        <v>3</v>
      </c>
      <c r="M16" s="11" t="n">
        <v>3</v>
      </c>
      <c r="N16" s="11">
        <f>L16*M16</f>
        <v/>
      </c>
      <c r="O16" s="11">
        <f>IF(N16="","",IF(N16&gt;=20,"Critical",IF(N16&gt;=10,"High",IF(N16&gt;=5,"Moderate","Low"))))</f>
        <v/>
      </c>
      <c r="P16" s="11" t="inlineStr">
        <is>
          <t>Accept</t>
        </is>
      </c>
      <c r="Q16" s="12" t="inlineStr">
        <is>
          <t>Training enforcement (POAM-019); continue simulations and phishing-resistant MFA rollout</t>
        </is>
      </c>
      <c r="R16" s="11" t="inlineStr">
        <is>
          <t>Denise Yamamoto (Director of People)</t>
        </is>
      </c>
      <c r="S16" s="13" t="n">
        <v>46295</v>
      </c>
      <c r="T16" s="11" t="n">
        <v>3</v>
      </c>
      <c r="U16" s="11" t="n">
        <v>3</v>
      </c>
      <c r="V16" s="11">
        <f>T16*U16</f>
        <v/>
      </c>
      <c r="W16" s="11">
        <f>IF(V16="","",IF(V16&gt;=20,"Critical",IF(V16&gt;=10,"High",IF(V16&gt;=5,"Moderate","Low"))))</f>
        <v/>
      </c>
      <c r="X16" s="11" t="inlineStr">
        <is>
          <t>Accepted within tolerance (monitor)</t>
        </is>
      </c>
      <c r="Y16" s="11" t="inlineStr">
        <is>
          <t>AT-2; AT-3; IA-2(8)</t>
        </is>
      </c>
      <c r="Z16" s="11" t="inlineStr">
        <is>
          <t>FIND-019</t>
        </is>
      </c>
      <c r="AA16" s="11" t="inlineStr">
        <is>
          <t>POAM-019</t>
        </is>
      </c>
      <c r="AB16" s="13" t="n">
        <v>46283</v>
      </c>
      <c r="AC16" s="12" t="inlineStr">
        <is>
          <t>L5: phishing attempts are constant. I4: credential compromise leading to PHI access.</t>
        </is>
      </c>
      <c r="AD16" s="12" t="inlineStr">
        <is>
          <t>L3: layered controls (MFA, filtering, EDR) catch most attempts (INC-2026-0012 shows MFA blocked a successful phish). I3: least privilege and monitoring limit impact.</t>
        </is>
      </c>
      <c r="AE16" s="12" t="inlineStr">
        <is>
          <t>L3 and I3 unchanged: training completion is a hygiene fix and does not move the risk. Accepted as within tolerance (Moderate) with an ongoing awareness program.</t>
        </is>
      </c>
    </row>
    <row r="17">
      <c r="A17" s="11" t="inlineStr">
        <is>
          <t>RISK-016</t>
        </is>
      </c>
      <c r="B17" s="12" t="inlineStr">
        <is>
          <t>Loss of SHCA contract or customer trust from unresolved compliance gaps</t>
        </is>
      </c>
      <c r="C17" s="12" t="inlineStr">
        <is>
          <t>SHCA or Lakemont judges Wrenfield's remediation insufficient, delaying go-live or leading to termination or non-renewal.</t>
        </is>
      </c>
      <c r="D17" s="12" t="inlineStr">
        <is>
          <t>SHCA C3P contract ($23.4M) and top customer relationships (Lakemont)</t>
        </is>
      </c>
      <c r="E17" s="12" t="inlineStr">
        <is>
          <t>Contract cure notice or termination; customer non-renewal after security review</t>
        </is>
      </c>
      <c r="F17" s="12" t="inlineStr">
        <is>
          <t>Outdated SSP; open High POA&amp;M items near go-live; vendor conditions unmet</t>
        </is>
      </c>
      <c r="G17" s="12" t="inlineStr">
        <is>
          <t>This assessment and the POA&amp;M; executive sponsorship; customer communication plan</t>
        </is>
      </c>
      <c r="H17" s="11" t="n">
        <v>3</v>
      </c>
      <c r="I17" s="11" t="n">
        <v>5</v>
      </c>
      <c r="J17" s="11">
        <f>H17*I17</f>
        <v/>
      </c>
      <c r="K17" s="11">
        <f>IF(J17="","",IF(J17&gt;=20,"Critical",IF(J17&gt;=10,"High",IF(J17&gt;=5,"Moderate","Low"))))</f>
        <v/>
      </c>
      <c r="L17" s="11" t="n">
        <v>3</v>
      </c>
      <c r="M17" s="11" t="n">
        <v>4</v>
      </c>
      <c r="N17" s="11">
        <f>L17*M17</f>
        <v/>
      </c>
      <c r="O17" s="11">
        <f>IF(N17="","",IF(N17&gt;=20,"Critical",IF(N17&gt;=10,"High",IF(N17&gt;=5,"Moderate","Low"))))</f>
        <v/>
      </c>
      <c r="P17" s="11" t="inlineStr">
        <is>
          <t>Mitigate</t>
        </is>
      </c>
      <c r="Q17" s="12" t="inlineStr">
        <is>
          <t>Close High POA&amp;M items before go-live; SSP rewrite (POAM-017); proactive customer update</t>
        </is>
      </c>
      <c r="R17" s="11" t="inlineStr">
        <is>
          <t>Elena Marsh (CEO)</t>
        </is>
      </c>
      <c r="S17" s="13" t="n">
        <v>46371</v>
      </c>
      <c r="T17" s="11" t="n">
        <v>2</v>
      </c>
      <c r="U17" s="11" t="n">
        <v>3</v>
      </c>
      <c r="V17" s="11">
        <f>T17*U17</f>
        <v/>
      </c>
      <c r="W17" s="11">
        <f>IF(V17="","",IF(V17&gt;=20,"Critical",IF(V17&gt;=10,"High",IF(V17&gt;=5,"Moderate","Low"))))</f>
        <v/>
      </c>
      <c r="X17" s="11" t="inlineStr">
        <is>
          <t>Treatment in progress</t>
        </is>
      </c>
      <c r="Y17" s="11" t="inlineStr">
        <is>
          <t>PL-2; CA-5; CA-7</t>
        </is>
      </c>
      <c r="Z17" s="11" t="inlineStr">
        <is>
          <t>FIND-017</t>
        </is>
      </c>
      <c r="AA17" s="11" t="inlineStr">
        <is>
          <t>POAM-017</t>
        </is>
      </c>
      <c r="AB17" s="13" t="n">
        <v>46283</v>
      </c>
      <c r="AC17" s="12" t="inlineStr">
        <is>
          <t>L3: 7 High findings against a 90-day rule. I5: loss of a $23.4M contract or a customer worth 21% of ARR.</t>
        </is>
      </c>
      <c r="AD17" s="12" t="inlineStr">
        <is>
          <t>L3: strong remediation momentum (7 of 19 closed in 6 weeks), but 3 High items are open with dependencies. I4: SHCA would more likely require a cure plan than terminate.</t>
        </is>
      </c>
      <c r="AE17" s="12" t="inlineStr">
        <is>
          <t>L2: High items closed before 2027-01-11, and the SSP is accurate. I3.</t>
        </is>
      </c>
    </row>
    <row r="18">
      <c r="A18" s="11" t="inlineStr">
        <is>
          <t>RISK-017</t>
        </is>
      </c>
      <c r="B18" s="12" t="inlineStr">
        <is>
          <t>Service-account credential theft</t>
        </is>
      </c>
      <c r="C18" s="12" t="inlineStr">
        <is>
          <t>A stolen long-lived service credential grants quiet, unmonitored access to PHI extracts.</t>
        </is>
      </c>
      <c r="D18" s="12" t="inlineStr">
        <is>
          <t>Non-human accounts with static credentials (SFTP push, reporting ETL, vendor logins)</t>
        </is>
      </c>
      <c r="E18" s="12" t="inlineStr">
        <is>
          <t>Credential theft from hosts or repositories; vendor-side compromise</t>
        </is>
      </c>
      <c r="F18" s="12" t="inlineStr">
        <is>
          <t>Keys 1.5–3 years old; no owners; a shared vendor login</t>
        </is>
      </c>
      <c r="G18" s="12" t="inlineStr">
        <is>
          <t>Secrets Manager rotation for DB credentials; OIDC for CI/CD</t>
        </is>
      </c>
      <c r="H18" s="11" t="n">
        <v>3</v>
      </c>
      <c r="I18" s="11" t="n">
        <v>4</v>
      </c>
      <c r="J18" s="11">
        <f>H18*I18</f>
        <v/>
      </c>
      <c r="K18" s="11">
        <f>IF(J18="","",IF(J18&gt;=20,"Critical",IF(J18&gt;=10,"High",IF(J18&gt;=5,"Moderate","Low"))))</f>
        <v/>
      </c>
      <c r="L18" s="11" t="n">
        <v>3</v>
      </c>
      <c r="M18" s="11" t="n">
        <v>4</v>
      </c>
      <c r="N18" s="11">
        <f>L18*M18</f>
        <v/>
      </c>
      <c r="O18" s="11">
        <f>IF(N18="","",IF(N18&gt;=20,"Critical",IF(N18&gt;=10,"High",IF(N18&gt;=5,"Moderate","Low"))))</f>
        <v/>
      </c>
      <c r="P18" s="11" t="inlineStr">
        <is>
          <t>Mitigate</t>
        </is>
      </c>
      <c r="Q18" s="12" t="inlineStr">
        <is>
          <t>Owners, rotation or federation, and named vendor accounts (POAM-005)</t>
        </is>
      </c>
      <c r="R18" s="11" t="inlineStr">
        <is>
          <t>Alicia Moreno (CISO)</t>
        </is>
      </c>
      <c r="S18" s="13" t="n">
        <v>46277</v>
      </c>
      <c r="T18" s="11" t="n">
        <v>1</v>
      </c>
      <c r="U18" s="11" t="n">
        <v>4</v>
      </c>
      <c r="V18" s="11">
        <f>T18*U18</f>
        <v/>
      </c>
      <c r="W18" s="11">
        <f>IF(V18="","",IF(V18&gt;=20,"Critical",IF(V18&gt;=10,"High",IF(V18&gt;=5,"Moderate","Low"))))</f>
        <v/>
      </c>
      <c r="X18" s="11" t="inlineStr">
        <is>
          <t>Treated (residual achieved; monitoring)</t>
        </is>
      </c>
      <c r="Y18" s="11" t="inlineStr">
        <is>
          <t>IA-5; AC-2</t>
        </is>
      </c>
      <c r="Z18" s="11" t="inlineStr">
        <is>
          <t>FIND-005</t>
        </is>
      </c>
      <c r="AA18" s="11" t="inlineStr">
        <is>
          <t>POAM-005</t>
        </is>
      </c>
      <c r="AB18" s="13" t="n">
        <v>46283</v>
      </c>
      <c r="AC18" s="12" t="inlineStr">
        <is>
          <t>L3: static keys leak through repositories, hosts, and backups. I4: PHI extract access.</t>
        </is>
      </c>
      <c r="AD18" s="12" t="inlineStr">
        <is>
          <t>L3: modern patterns exist, but the legacy exceptions carry the risk. I4.</t>
        </is>
      </c>
      <c r="AE18" s="12" t="inlineStr">
        <is>
          <t>L1: federation and rotation with owners and quarterly attestation. I4: a compromised service identity would still reach the same data.</t>
        </is>
      </c>
    </row>
    <row r="19">
      <c r="A19" s="11" t="inlineStr">
        <is>
          <t>RISK-018</t>
        </is>
      </c>
      <c r="B19" s="12" t="inlineStr">
        <is>
          <t>Loss or theft of an endpoint containing PHI</t>
        </is>
      </c>
      <c r="C19" s="12" t="inlineStr">
        <is>
          <t>A lost or stolen laptop exposes PHI stored locally.</t>
        </is>
      </c>
      <c r="D19" s="12" t="inlineStr">
        <is>
          <t>About 362 workforce laptops</t>
        </is>
      </c>
      <c r="E19" s="12" t="inlineStr">
        <is>
          <t>Theft, loss in transit</t>
        </is>
      </c>
      <c r="F19" s="12" t="inlineStr">
        <is>
          <t>Mobile workforce (60% remote)</t>
        </is>
      </c>
      <c r="G19" s="12" t="inlineStr">
        <is>
          <t>Full-disk encryption (100%); MDM remote wipe; policy against storing PHI locally, with DLP; EDR</t>
        </is>
      </c>
      <c r="H19" s="11" t="n">
        <v>4</v>
      </c>
      <c r="I19" s="11" t="n">
        <v>3</v>
      </c>
      <c r="J19" s="11">
        <f>H19*I19</f>
        <v/>
      </c>
      <c r="K19" s="11">
        <f>IF(J19="","",IF(J19&gt;=20,"Critical",IF(J19&gt;=10,"High",IF(J19&gt;=5,"Moderate","Low"))))</f>
        <v/>
      </c>
      <c r="L19" s="11" t="n">
        <v>2</v>
      </c>
      <c r="M19" s="11" t="n">
        <v>2</v>
      </c>
      <c r="N19" s="11">
        <f>L19*M19</f>
        <v/>
      </c>
      <c r="O19" s="11">
        <f>IF(N19="","",IF(N19&gt;=20,"Critical",IF(N19&gt;=10,"High",IF(N19&gt;=5,"Moderate","Low"))))</f>
        <v/>
      </c>
      <c r="P19" s="11" t="inlineStr">
        <is>
          <t>Accept</t>
        </is>
      </c>
      <c r="Q19" s="12" t="inlineStr">
        <is>
          <t>None beyond current controls; annual review</t>
        </is>
      </c>
      <c r="R19" s="11" t="inlineStr">
        <is>
          <t>Kevin Brandt (IT Manager)</t>
        </is>
      </c>
      <c r="S19" s="13" t="n">
        <v>46583</v>
      </c>
      <c r="T19" s="11" t="n">
        <v>2</v>
      </c>
      <c r="U19" s="11" t="n">
        <v>2</v>
      </c>
      <c r="V19" s="11">
        <f>T19*U19</f>
        <v/>
      </c>
      <c r="W19" s="11">
        <f>IF(V19="","",IF(V19&gt;=20,"Critical",IF(V19&gt;=10,"High",IF(V19&gt;=5,"Moderate","Low"))))</f>
        <v/>
      </c>
      <c r="X19" s="11" t="inlineStr">
        <is>
          <t>Accepted within appetite (Low)</t>
        </is>
      </c>
      <c r="Y19" s="11" t="inlineStr">
        <is>
          <t>SC-28; MP-6</t>
        </is>
      </c>
      <c r="Z19" s="11" t="inlineStr"/>
      <c r="AA19" s="11" t="inlineStr"/>
      <c r="AB19" s="13" t="n">
        <v>46283</v>
      </c>
      <c r="AC19" s="12" t="inlineStr">
        <is>
          <t>L4: several devices are lost each year. I3: a local PHI cache could hold under 500 records.</t>
        </is>
      </c>
      <c r="AD19" s="12" t="inlineStr">
        <is>
          <t>L2: devices are still lost (INC-2026-0063), but FDE means a lost encrypted device is not a breach of unsecured PHI. I2: exposure is internal-only and non-reportable when encryption is verified.</t>
        </is>
      </c>
      <c r="AE19" s="12" t="inlineStr">
        <is>
          <t>Unchanged; within appetite.</t>
        </is>
      </c>
    </row>
  </sheetData>
  <autoFilter ref="A1:AE19"/>
  <conditionalFormatting sqref="K2:K219">
    <cfRule type="expression" priority="1" dxfId="0">
      <formula>K2="Critical"</formula>
    </cfRule>
    <cfRule type="expression" priority="2" dxfId="1">
      <formula>K2="High"</formula>
    </cfRule>
    <cfRule type="expression" priority="3" dxfId="2">
      <formula>K2="Moderate"</formula>
    </cfRule>
    <cfRule type="expression" priority="4" dxfId="3">
      <formula>K2="Low"</formula>
    </cfRule>
  </conditionalFormatting>
  <conditionalFormatting sqref="O2:O219">
    <cfRule type="expression" priority="5" dxfId="0">
      <formula>O2="Critical"</formula>
    </cfRule>
    <cfRule type="expression" priority="6" dxfId="1">
      <formula>O2="High"</formula>
    </cfRule>
    <cfRule type="expression" priority="7" dxfId="2">
      <formula>O2="Moderate"</formula>
    </cfRule>
    <cfRule type="expression" priority="8" dxfId="3">
      <formula>O2="Low"</formula>
    </cfRule>
  </conditionalFormatting>
  <conditionalFormatting sqref="W2:W219">
    <cfRule type="expression" priority="9" dxfId="0">
      <formula>W2="Critical"</formula>
    </cfRule>
    <cfRule type="expression" priority="10" dxfId="1">
      <formula>W2="High"</formula>
    </cfRule>
    <cfRule type="expression" priority="11" dxfId="2">
      <formula>W2="Moderate"</formula>
    </cfRule>
    <cfRule type="expression" priority="12" dxfId="3">
      <formula>W2="Low"</formula>
    </cfRule>
  </conditionalFormatting>
  <dataValidations count="7">
    <dataValidation sqref="H2:H219" showDropDown="0" showInputMessage="0" showErrorMessage="1" allowBlank="0" error="Likelihood and impact use the 1-5 scale in risk/risk-methodology.md" type="whole" operator="between">
      <formula1>1</formula1>
      <formula2>5</formula2>
    </dataValidation>
    <dataValidation sqref="I2:I219" showDropDown="0" showInputMessage="0" showErrorMessage="1" allowBlank="0" error="Likelihood and impact use the 1-5 scale in risk/risk-methodology.md" type="whole" operator="between">
      <formula1>1</formula1>
      <formula2>5</formula2>
    </dataValidation>
    <dataValidation sqref="L2:L219" showDropDown="0" showInputMessage="0" showErrorMessage="1" allowBlank="0" error="Likelihood and impact use the 1-5 scale in risk/risk-methodology.md" type="whole" operator="between">
      <formula1>1</formula1>
      <formula2>5</formula2>
    </dataValidation>
    <dataValidation sqref="M2:M219" showDropDown="0" showInputMessage="0" showErrorMessage="1" allowBlank="0" error="Likelihood and impact use the 1-5 scale in risk/risk-methodology.md" type="whole" operator="between">
      <formula1>1</formula1>
      <formula2>5</formula2>
    </dataValidation>
    <dataValidation sqref="T2:T219" showDropDown="0" showInputMessage="0" showErrorMessage="1" allowBlank="0" error="Likelihood and impact use the 1-5 scale in risk/risk-methodology.md" type="whole" operator="between">
      <formula1>1</formula1>
      <formula2>5</formula2>
    </dataValidation>
    <dataValidation sqref="U2:U219" showDropDown="0" showInputMessage="0" showErrorMessage="1" allowBlank="0" error="Likelihood and impact use the 1-5 scale in risk/risk-methodology.md" type="whole" operator="between">
      <formula1>1</formula1>
      <formula2>5</formula2>
    </dataValidation>
    <dataValidation sqref="P2:P219" showDropDown="0" showInputMessage="0" showErrorMessage="1" allowBlank="1" errorTitle="Controlled value" error="Choose a value from the list (controlled vocabulary)." type="list">
      <formula1>"Mitigate,Accept,Transfer,Avoid"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8" customWidth="1" min="8" max="8"/>
    <col width="16" customWidth="1" min="9" max="9"/>
    <col width="16" customWidth="1" min="10" max="10"/>
    <col width="16" customWidth="1" min="11" max="11"/>
    <col width="44" customWidth="1" min="12" max="12"/>
    <col width="16" customWidth="1" min="13" max="13"/>
    <col width="16" customWidth="1" min="14" max="14"/>
    <col width="16"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s>
  <sheetData>
    <row r="1" ht="32" customHeight="1">
      <c r="A1" s="10" t="inlineStr">
        <is>
          <t>Finding ID</t>
        </is>
      </c>
      <c r="B1" s="10" t="inlineStr">
        <is>
          <t>Title</t>
        </is>
      </c>
      <c r="C1" s="10" t="inlineStr">
        <is>
          <t>Severity</t>
        </is>
      </c>
      <c r="D1" s="10" t="inlineStr">
        <is>
          <t>Likelihood</t>
        </is>
      </c>
      <c r="E1" s="10" t="inlineStr">
        <is>
          <t>Impact</t>
        </is>
      </c>
      <c r="F1" s="10" t="inlineStr">
        <is>
          <t>Score</t>
        </is>
      </c>
      <c r="G1" s="10" t="inlineStr">
        <is>
          <t>Primary Control</t>
        </is>
      </c>
      <c r="H1" s="10" t="inlineStr">
        <is>
          <t>Related Controls</t>
        </is>
      </c>
      <c r="I1" s="10" t="inlineStr">
        <is>
          <t>Related Risks</t>
        </is>
      </c>
      <c r="J1" s="10" t="inlineStr">
        <is>
          <t>POA&amp;M ID</t>
        </is>
      </c>
      <c r="K1" s="10" t="inlineStr">
        <is>
          <t>Source</t>
        </is>
      </c>
      <c r="L1" s="10" t="inlineStr">
        <is>
          <t>Related Items (AR-EX / VR / EVID)</t>
        </is>
      </c>
      <c r="M1" s="10" t="inlineStr">
        <is>
          <t>Date Identified</t>
        </is>
      </c>
      <c r="N1" s="10" t="inlineStr">
        <is>
          <t>Owner</t>
        </is>
      </c>
      <c r="O1" s="10" t="inlineStr">
        <is>
          <t>Status</t>
        </is>
      </c>
      <c r="P1" s="10" t="inlineStr">
        <is>
          <t>Condition</t>
        </is>
      </c>
      <c r="Q1" s="10" t="inlineStr">
        <is>
          <t>Criteria</t>
        </is>
      </c>
      <c r="R1" s="10" t="inlineStr">
        <is>
          <t>Cause</t>
        </is>
      </c>
      <c r="S1" s="10" t="inlineStr">
        <is>
          <t>Effect</t>
        </is>
      </c>
      <c r="T1" s="10" t="inlineStr">
        <is>
          <t>Recommendation</t>
        </is>
      </c>
      <c r="U1" s="10" t="inlineStr">
        <is>
          <t>Management Response</t>
        </is>
      </c>
      <c r="V1" s="10" t="inlineStr">
        <is>
          <t>Challenge Record</t>
        </is>
      </c>
    </row>
    <row r="2">
      <c r="A2" s="11" t="inlineStr">
        <is>
          <t>FIND-001</t>
        </is>
      </c>
      <c r="B2" s="12" t="inlineStr">
        <is>
          <t>Terminated workforce retained active access</t>
        </is>
      </c>
      <c r="C2" s="11">
        <f>IF(F2="","",IF(F2&gt;=20,"Critical",IF(F2&gt;=10,"High",IF(F2&gt;=5,"Moderate","Low"))))</f>
        <v/>
      </c>
      <c r="D2" s="11" t="n">
        <v>4</v>
      </c>
      <c r="E2" s="11" t="n">
        <v>4</v>
      </c>
      <c r="F2" s="11">
        <f>D2*E2</f>
        <v/>
      </c>
      <c r="G2" s="11" t="inlineStr">
        <is>
          <t>AC-2(3)</t>
        </is>
      </c>
      <c r="H2" s="11" t="inlineStr">
        <is>
          <t>AC-2(3); AC-2; AC-2(1); PS-4; PS-7</t>
        </is>
      </c>
      <c r="I2" s="11" t="inlineStr">
        <is>
          <t>RISK-002</t>
        </is>
      </c>
      <c r="J2" s="11" t="inlineStr">
        <is>
          <t>POAM-001</t>
        </is>
      </c>
      <c r="K2" s="11" t="inlineStr">
        <is>
          <t>Control test + access review</t>
        </is>
      </c>
      <c r="L2" s="12" t="inlineStr">
        <is>
          <t>AR-EX-01; AR-EX-02; AR-EX-03; AR-EX-04; VR-007; EVID-003; EVID-004; EVID-007; EVID-078</t>
        </is>
      </c>
      <c r="M2" s="13" t="n">
        <v>46209</v>
      </c>
      <c r="N2" s="11" t="inlineStr">
        <is>
          <t>Nadia Rahman (IAM Engineer)</t>
        </is>
      </c>
      <c r="O2" s="11" t="inlineStr">
        <is>
          <t>Closed</t>
        </is>
      </c>
      <c r="P2" s="12" t="inlineStr">
        <is>
          <t>2 of 19 workers terminated in H1 2026 were still enabled in Okta at the 2026-06-30 snapshot, and 1 more was disabled 9 days late. A terminated contractor signed in 4 days after the contract ended (INC-2026-0117). A local AWS IAM user with AdministratorAccess belonging to an employee terminated 2026-03-27 was still active 95 days later. A former employee still had a Quarrystone portal account (local authentication).</t>
        </is>
      </c>
      <c r="Q2" s="12" t="inlineStr">
        <is>
          <t>SHCA CSA §3.3 and ACP-002 §5.3 require disabling within 24 hours. HIPAA 164.308(a)(3)(ii)(C) requires termination procedures. The vendor SOC 2 CUEC requires Wrenfield to manage its portal users.</t>
        </is>
      </c>
      <c r="R2" s="12" t="inlineStr">
        <is>
          <t>De-provisioning depended on IT manually creating a ticket from an HR email, with no automated HR trigger (AC-2(1)). The offboarding checklist covered only Okta, not local accounts (AWS IAM users, wf-sftp-01, the vendor portal). Contract end dates were not enforced.</t>
        </is>
      </c>
      <c r="S2" s="12" t="inlineStr">
        <is>
          <t>Former workers could reach PHI systems (AWS admin) or financial systems (Ledgerline AP) after separation. One post-termination sign-in required a HIPAA breach risk assessment (outcome, low probability of compromise).</t>
        </is>
      </c>
      <c r="T2" s="12" t="inlineStr">
        <is>
          <t>Automate HR-driven de-provisioning or daily reconciliation with auto-ticketing. Eliminate or register all local accounts. Set expiry dates on contractor accounts. Add vendor portals to the JML checklist and pursue SSO for them.</t>
        </is>
      </c>
      <c r="U2" s="12" t="inlineStr">
        <is>
          <t>Agree. The CISO committed to automated reconciliation by 2026-08-21 and local-account cleanup by 2026-07-10.</t>
        </is>
      </c>
      <c r="V2" s="12" t="inlineStr"/>
    </row>
    <row r="3">
      <c r="A3" s="11" t="inlineStr">
        <is>
          <t>FIND-002</t>
        </is>
      </c>
      <c r="B3" s="12" t="inlineStr">
        <is>
          <t>MFA not enforced for all workforce and privileged accounts</t>
        </is>
      </c>
      <c r="C3" s="11">
        <f>IF(F3="","",IF(F3&gt;=20,"Critical",IF(F3&gt;=10,"High",IF(F3&gt;=5,"Moderate","Low"))))</f>
        <v/>
      </c>
      <c r="D3" s="11" t="n">
        <v>4</v>
      </c>
      <c r="E3" s="11" t="n">
        <v>4</v>
      </c>
      <c r="F3" s="11">
        <f>D3*E3</f>
        <v/>
      </c>
      <c r="G3" s="11" t="inlineStr">
        <is>
          <t>IA-2(1)</t>
        </is>
      </c>
      <c r="H3" s="11" t="inlineStr">
        <is>
          <t>IA-2(1); IA-2(2)</t>
        </is>
      </c>
      <c r="I3" s="11" t="inlineStr">
        <is>
          <t>RISK-003</t>
        </is>
      </c>
      <c r="J3" s="11" t="inlineStr">
        <is>
          <t>POAM-002</t>
        </is>
      </c>
      <c r="K3" s="11" t="inlineStr">
        <is>
          <t>Control test + access review</t>
        </is>
      </c>
      <c r="L3" s="12" t="inlineStr">
        <is>
          <t>AR-EX-11; EVID-010; EVID-011; EVID-007; EVID-063; EVID-064</t>
        </is>
      </c>
      <c r="M3" s="13" t="n">
        <v>46203</v>
      </c>
      <c r="N3" s="11" t="inlineStr">
        <is>
          <t>Nadia Rahman (IAM Engineer)</t>
        </is>
      </c>
      <c r="O3" s="11" t="inlineStr">
        <is>
          <t>Closed</t>
        </is>
      </c>
      <c r="P3" s="12" t="inlineStr">
        <is>
          <t>An Okta policy created in 2023 as a "temporary" workaround exempted the MFA-Exempt-Legacy group (11 accounts, 9 human) from MFA. One member was an Okta Super Administrator. None of the exemptions had approval or an expiry date. In AWS, the IAM user mfeld-admin (AdministratorAccess) had a console password and no MFA.</t>
        </is>
      </c>
      <c r="Q3" s="12" t="inlineStr">
        <is>
          <t>SHCA CSA §3.2 requires MFA for all privileged and remote access. HIPAA 164.312(d) requires person or entity authentication. ACP-002 §6.1 limits exceptions to 30 days with CISO approval.</t>
        </is>
      </c>
      <c r="R3" s="12" t="inlineStr">
        <is>
          <t>Exceptions were granted by help desk and IT without a workflow, an expiry, or review. Legacy IAM users bypass the Okta policy entirely.</t>
        </is>
      </c>
      <c r="S3" s="12" t="inlineStr">
        <is>
          <t>Password-only access to an identity administrator account put every downstream system at risk from a single phished password. This is the exact MFA concern raised in the Lakemont review.</t>
        </is>
      </c>
      <c r="T3" s="12" t="inlineStr">
        <is>
          <t>Remove the exemption policy and group. Enroll all members, with accommodation alternatives such as hardware keys. Convert service users to non-interactive integrations. Require phishing-resistant MFA for admin apps. Remove IAM users other than break-glass. Implement a time-bound exception workflow.</t>
        </is>
      </c>
      <c r="U3" s="12" t="inlineStr">
        <is>
          <t>Agree. Target 2026-09-05.</t>
        </is>
      </c>
      <c r="V3" s="12" t="inlineStr"/>
    </row>
    <row r="4">
      <c r="A4" s="11" t="inlineStr">
        <is>
          <t>FIND-003</t>
        </is>
      </c>
      <c r="B4" s="12" t="inlineStr">
        <is>
          <t>Excessive privileged access and administration from daily-use accounts</t>
        </is>
      </c>
      <c r="C4" s="11">
        <f>IF(F4="","",IF(F4&gt;=20,"Critical",IF(F4&gt;=10,"High",IF(F4&gt;=5,"Moderate","Low"))))</f>
        <v/>
      </c>
      <c r="D4" s="11" t="n">
        <v>3</v>
      </c>
      <c r="E4" s="11" t="n">
        <v>5</v>
      </c>
      <c r="F4" s="11">
        <f>D4*E4</f>
        <v/>
      </c>
      <c r="G4" s="11" t="inlineStr">
        <is>
          <t>AC-6(5)</t>
        </is>
      </c>
      <c r="H4" s="11" t="inlineStr">
        <is>
          <t>AC-6(5); AC-6; AC-6(2)</t>
        </is>
      </c>
      <c r="I4" s="11" t="inlineStr">
        <is>
          <t>RISK-001</t>
        </is>
      </c>
      <c r="J4" s="11" t="inlineStr">
        <is>
          <t>POAM-003</t>
        </is>
      </c>
      <c r="K4" s="11" t="inlineStr">
        <is>
          <t>Access review</t>
        </is>
      </c>
      <c r="L4" s="12" t="inlineStr">
        <is>
          <t>AR-EX-05; AR-EX-06; AR-EX-07; AR-EX-08; AR-EX-09; AR-EX-10; EVID-016; EVID-017; EVID-071; EVID-075; EVID-076; EVID-077</t>
        </is>
      </c>
      <c r="M4" s="13" t="n">
        <v>46213</v>
      </c>
      <c r="N4" s="11" t="inlineStr">
        <is>
          <t>Tomasz Wierzbicki (Director, Platform Engineering)</t>
        </is>
      </c>
      <c r="O4" s="11" t="inlineStr">
        <is>
          <t>In Progress</t>
        </is>
      </c>
      <c r="P4" s="12" t="inlineStr">
        <is>
          <t>Production AWS AdministratorAccess was held by 2 engineers outside the SRE role, including a 2024 'temporary' migration grant. GitHub had 5 organization owners against an approved maximum of 3. An IT Manager held Okta Super Administrator. A Data Engineer had write access to the PHI primary database. 2 of 3 authorized SRE admins used their email and browsing accounts for production administration, contrary to ACP-002 §5.4.</t>
        </is>
      </c>
      <c r="Q4" s="12" t="inlineStr">
        <is>
          <t>AC-6 and AC-6(5) least privilege. ACP-002 §5.4 separate admin accounts. SOC 2 CC6.3 commitment.</t>
        </is>
      </c>
      <c r="R4" s="12" t="inlineStr">
        <is>
          <t>Privileged grants have no expiry, and no privileged-access review existed before this assessment. The separate-admin-account policy (2025-07) was never rolled out.</t>
        </is>
      </c>
      <c r="S4" s="12" t="inlineStr">
        <is>
          <t>A compromised daily account, which is exposed to phishing and browsing, could immediately act as a production administrator over all PHI.</t>
        </is>
      </c>
      <c r="T4" s="12" t="inlineStr">
        <is>
          <t>Remove excess grants. Issue -adm accounts with phishing-resistant MFA. Introduce just-in-time (JIT), approval-gated elevation with automatic expiry for AWS admin. Enforce the GitHub owner cap.</t>
        </is>
      </c>
      <c r="U4" s="12" t="inlineStr">
        <is>
          <t>Agree. Engineering initially disputed the Data Engineer's need; resolved with time-boxed elevation. Target 2026-11-05.</t>
        </is>
      </c>
      <c r="V4" s="12" t="inlineStr"/>
    </row>
    <row r="5">
      <c r="A5" s="11" t="inlineStr">
        <is>
          <t>FIND-004</t>
        </is>
      </c>
      <c r="B5" s="12" t="inlineStr">
        <is>
          <t>Access recertification incomplete and ineffective (access creep)</t>
        </is>
      </c>
      <c r="C5" s="11">
        <f>IF(F5="","",IF(F5&gt;=20,"Critical",IF(F5&gt;=10,"High",IF(F5&gt;=5,"Moderate","Low"))))</f>
        <v/>
      </c>
      <c r="D5" s="11" t="n">
        <v>3</v>
      </c>
      <c r="E5" s="11" t="n">
        <v>3</v>
      </c>
      <c r="F5" s="11">
        <f>D5*E5</f>
        <v/>
      </c>
      <c r="G5" s="11" t="inlineStr">
        <is>
          <t>AC-6(7)</t>
        </is>
      </c>
      <c r="H5" s="11" t="inlineStr">
        <is>
          <t>AC-6(7); AC-2; PS-5</t>
        </is>
      </c>
      <c r="I5" s="11" t="inlineStr">
        <is>
          <t>RISK-004</t>
        </is>
      </c>
      <c r="J5" s="11" t="inlineStr">
        <is>
          <t>POAM-004</t>
        </is>
      </c>
      <c r="K5" s="11" t="inlineStr">
        <is>
          <t>Control test + access review</t>
        </is>
      </c>
      <c r="L5" s="12" t="inlineStr">
        <is>
          <t>AR-EX-12; AR-EX-13; AR-EX-14; EVID-008; EVID-009; EVID-044; EVID-074</t>
        </is>
      </c>
      <c r="M5" s="13" t="n">
        <v>46213</v>
      </c>
      <c r="N5" s="11" t="inlineStr">
        <is>
          <t>Alicia Moreno (CISO)</t>
        </is>
      </c>
      <c r="O5" s="11" t="inlineStr">
        <is>
          <t>In Progress</t>
        </is>
      </c>
      <c r="P5" s="12" t="inlineStr">
        <is>
          <t>Quarterly Okta certifications cover app assignments only. AWS, GitHub, database, and local accounts were never reviewed. In the Q1 campaign, 412 of 412 items were approved and 17 of 23 reviewers finished in under 5 minutes. The campaign approved a duplicate account (rgupta2) and a transferred user's prior-role PHI access, which that user used after the transfer. One user kept production access unused for 240 days.</t>
        </is>
      </c>
      <c r="Q5" s="12" t="inlineStr">
        <is>
          <t>SHCA CSA §3.3 requires quarterly privileged recertification. HIPAA 164.308(a)(4)(ii)(C). AC-6(7). PS-5.</t>
        </is>
      </c>
      <c r="R5" s="12" t="inlineStr">
        <is>
          <t>Campaign scope is limited to what the Okta certification feature can see. Reviewers get no usage data or risk flags. Transfers do not trigger an access re-baseline.</t>
        </is>
      </c>
      <c r="S5" s="12" t="inlineStr">
        <is>
          <t>Access accumulates beyond need, which undermines least privilege and raises insider and compromise impact.</t>
        </is>
      </c>
      <c r="T5" s="12" t="inlineStr">
        <is>
          <t>Expand campaigns to all privileged and PHI entitlements across the 9 systems. Give reviewers last-used dates and role-baseline deviations (the review engine output). Require a rationale for approving flagged items. Add a transfer-triggered re-certification.</t>
        </is>
      </c>
      <c r="U5" s="12" t="inlineStr">
        <is>
          <t>Agree. The Q3 campaign is being run on the new design; its results are due 2026-09-30.</t>
        </is>
      </c>
      <c r="V5" s="12" t="inlineStr"/>
    </row>
    <row r="6">
      <c r="A6" s="11" t="inlineStr">
        <is>
          <t>FIND-005</t>
        </is>
      </c>
      <c r="B6" s="12" t="inlineStr">
        <is>
          <t>Service and shared accounts lack ownership, credential rotation, and individual accountability</t>
        </is>
      </c>
      <c r="C6" s="11">
        <f>IF(F6="","",IF(F6&gt;=20,"Critical",IF(F6&gt;=10,"High",IF(F6&gt;=5,"Moderate","Low"))))</f>
        <v/>
      </c>
      <c r="D6" s="11" t="n">
        <v>3</v>
      </c>
      <c r="E6" s="11" t="n">
        <v>3</v>
      </c>
      <c r="F6" s="11">
        <f>D6*E6</f>
        <v/>
      </c>
      <c r="G6" s="11" t="inlineStr">
        <is>
          <t>IA-5</t>
        </is>
      </c>
      <c r="H6" s="11" t="inlineStr">
        <is>
          <t>IA-5; AC-2</t>
        </is>
      </c>
      <c r="I6" s="11" t="inlineStr">
        <is>
          <t>RISK-017</t>
        </is>
      </c>
      <c r="J6" s="11" t="inlineStr">
        <is>
          <t>POAM-005</t>
        </is>
      </c>
      <c r="K6" s="11" t="inlineStr">
        <is>
          <t>Access review</t>
        </is>
      </c>
      <c r="L6" s="12" t="inlineStr">
        <is>
          <t>AR-EX-18; AR-EX-19; AR-EX-20; EVID-013; EVID-065</t>
        </is>
      </c>
      <c r="M6" s="13" t="n">
        <v>46212</v>
      </c>
      <c r="N6" s="11" t="inlineStr">
        <is>
          <t>Nadia Rahman (IAM Engineer)</t>
        </is>
      </c>
      <c r="O6" s="11" t="inlineStr">
        <is>
          <t>Closed</t>
        </is>
      </c>
      <c r="P6" s="12" t="inlineStr">
        <is>
          <t>Of 13 non-human accounts: 2 had no documented owner (svc-quarrystone-sftp, whose SSH key was 811 days old and which pushes the nightly PHI extract; svc-reporting-etl, an IAM user with a 539-day static access key created by a now-terminated employee). The MDR vendor used a single shared login to the EDR console, so containment actions could not be attributed to individual analysts.</t>
        </is>
      </c>
      <c r="Q6" s="12" t="inlineStr">
        <is>
          <t>IA-5 (refresh authenticators; the Wrenfield standard is 365 days). AC-2 (account managers for every account). ACP-002 §4.2 (no shared accounts).</t>
        </is>
      </c>
      <c r="R6" s="12" t="inlineStr">
        <is>
          <t>The service-account register had no owner or rotation fields. Vendor access was set up for convenience during MDR onboarding.</t>
        </is>
      </c>
      <c r="S6" s="12" t="inlineStr">
        <is>
          <t>Long-lived secrets increase the chance of undetected credential theft, and orphaned accounts are not monitored by anyone.</t>
        </is>
      </c>
      <c r="T6" s="12" t="inlineStr">
        <is>
          <t>Assign owners. Rotate or federate credentials (IAM roles, OIDC). Replace the shared vendor login with named federated accounts. Add owner and rotation fields and quarterly attestation to the register.</t>
        </is>
      </c>
      <c r="U6" s="12" t="inlineStr">
        <is>
          <t>Agree. Target 2026-09-12.</t>
        </is>
      </c>
      <c r="V6" s="12" t="inlineStr"/>
    </row>
    <row r="7">
      <c r="A7" s="11" t="inlineStr">
        <is>
          <t>FIND-006</t>
        </is>
      </c>
      <c r="B7" s="12" t="inlineStr">
        <is>
          <t>Contractor access not bound to engagement term and scope</t>
        </is>
      </c>
      <c r="C7" s="11">
        <f>IF(F7="","",IF(F7&gt;=20,"Critical",IF(F7&gt;=10,"High",IF(F7&gt;=5,"Moderate","Low"))))</f>
        <v/>
      </c>
      <c r="D7" s="11" t="n">
        <v>2</v>
      </c>
      <c r="E7" s="11" t="n">
        <v>4</v>
      </c>
      <c r="F7" s="11">
        <f>D7*E7</f>
        <v/>
      </c>
      <c r="G7" s="11" t="inlineStr">
        <is>
          <t>PS-7</t>
        </is>
      </c>
      <c r="H7" s="11" t="inlineStr">
        <is>
          <t>PS-7; AC-2</t>
        </is>
      </c>
      <c r="I7" s="11" t="inlineStr">
        <is>
          <t>RISK-002; RISK-004</t>
        </is>
      </c>
      <c r="J7" s="11" t="inlineStr">
        <is>
          <t>POAM-006</t>
        </is>
      </c>
      <c r="K7" s="11" t="inlineStr">
        <is>
          <t>Access review</t>
        </is>
      </c>
      <c r="L7" s="12" t="inlineStr">
        <is>
          <t>AR-EX-15; AR-EX-16; EVID-045; EVID-066</t>
        </is>
      </c>
      <c r="M7" s="13" t="n">
        <v>46211</v>
      </c>
      <c r="N7" s="11" t="inlineStr">
        <is>
          <t>Sofia Ricci (Engineering Manager)</t>
        </is>
      </c>
      <c r="O7" s="11" t="inlineStr">
        <is>
          <t>Closed</t>
        </is>
      </c>
      <c r="P7" s="12" t="inlineStr">
        <is>
          <t>One contractor remained active 22 days past the recorded contract end date while working under an extension that had not been documented. The same contractor had PHI production database access that the QA SOW did not require (QA uses staging with synthetic data).</t>
        </is>
      </c>
      <c r="Q7" s="12" t="inlineStr">
        <is>
          <t>PS-7 (external personnel requirements and monitoring). ACP-002 §5.3 (contractor end dates enforced). Minimum necessary (HIPAA 164.502(b)).</t>
        </is>
      </c>
      <c r="R7" s="12" t="inlineStr">
        <is>
          <t>Contractor end dates were not enforced in Okta, and access requests were not checked against SOW scope.</t>
        </is>
      </c>
      <c r="S7" s="12" t="inlineStr">
        <is>
          <t>Contractor access can outlive or exceed the engagement, which increases PHI exposure through third-party personnel.</t>
        </is>
      </c>
      <c r="T7" s="12" t="inlineStr">
        <is>
          <t>Set Okta account expiry equal to the SOW end date. Require SOW scope on contractor access requests. Send a monthly contractor roster to sponsors.</t>
        </is>
      </c>
      <c r="U7" s="12" t="inlineStr">
        <is>
          <t>Agree. Target 2026-09-10.</t>
        </is>
      </c>
      <c r="V7" s="12" t="inlineStr"/>
    </row>
    <row r="8">
      <c r="A8" s="11" t="inlineStr">
        <is>
          <t>FIND-007</t>
        </is>
      </c>
      <c r="B8" s="12" t="inlineStr">
        <is>
          <t>Segregation-of-duties conflict in vendor payment process</t>
        </is>
      </c>
      <c r="C8" s="11">
        <f>IF(F8="","",IF(F8&gt;=20,"Critical",IF(F8&gt;=10,"High",IF(F8&gt;=5,"Moderate","Low"))))</f>
        <v/>
      </c>
      <c r="D8" s="11" t="n">
        <v>2</v>
      </c>
      <c r="E8" s="11" t="n">
        <v>3</v>
      </c>
      <c r="F8" s="11">
        <f>D8*E8</f>
        <v/>
      </c>
      <c r="G8" s="11" t="inlineStr">
        <is>
          <t>AC-5</t>
        </is>
      </c>
      <c r="H8" s="11" t="inlineStr">
        <is>
          <t>AC-5</t>
        </is>
      </c>
      <c r="I8" s="11" t="inlineStr">
        <is>
          <t>RISK-013</t>
        </is>
      </c>
      <c r="J8" s="11" t="inlineStr">
        <is>
          <t>POAM-007</t>
        </is>
      </c>
      <c r="K8" s="11" t="inlineStr">
        <is>
          <t>Access review</t>
        </is>
      </c>
      <c r="L8" s="12" t="inlineStr">
        <is>
          <t>AR-EX-17; EVID-014; EVID-015; EVID-060</t>
        </is>
      </c>
      <c r="M8" s="13" t="n">
        <v>46213</v>
      </c>
      <c r="N8" s="11" t="inlineStr">
        <is>
          <t>Laura Brenneman (Controller)</t>
        </is>
      </c>
      <c r="O8" s="11" t="inlineStr">
        <is>
          <t>Risk Accepted</t>
        </is>
      </c>
      <c r="P8" s="12" t="inlineStr">
        <is>
          <t>The Senior Accountant can both maintain vendor master data (including bank details) and approve payments up to $25,000 (SOD-01). A compensating control, a monthly vendor-master change report reviewed by the Controller, operated 6 of 6 months, but it was never formally documented as a risk decision.</t>
        </is>
      </c>
      <c r="Q8" s="12" t="inlineStr">
        <is>
          <t>AC-5. Wrenfield internal-control policy (Board-approved) on payment SoD.</t>
        </is>
      </c>
      <c r="R8" s="12" t="inlineStr">
        <is>
          <t>The finance team shrank to three people after the AP Specialist left in 2026-05. Duties were consolidated temporarily.</t>
        </is>
      </c>
      <c r="S8" s="12" t="inlineStr">
        <is>
          <t>A single person could create or alter a vendor and approve payment to it, up to $25,000 per transaction.</t>
        </is>
      </c>
      <c r="T8" s="12" t="inlineStr">
        <is>
          <t>Formally accept the risk with the compensating control and an expiry date, and redesign roles when the AP role is backfilled. Keep the callback verification of bank-detail changes.</t>
        </is>
      </c>
      <c r="U8" s="12" t="inlineStr">
        <is>
          <t>Agree. RACC-001 signed by the CFO (risk owner) with CISO concurrence on 2026-08-12, expiring 2027-03-31.</t>
        </is>
      </c>
      <c r="V8" s="12" t="inlineStr"/>
    </row>
    <row r="9">
      <c r="A9" s="11" t="inlineStr">
        <is>
          <t>FIND-008</t>
        </is>
      </c>
      <c r="B9" s="12" t="inlineStr">
        <is>
          <t>Audit log retention below the 12-month contractual requirement</t>
        </is>
      </c>
      <c r="C9" s="11">
        <f>IF(F9="","",IF(F9&gt;=20,"Critical",IF(F9&gt;=10,"High",IF(F9&gt;=5,"Moderate","Low"))))</f>
        <v/>
      </c>
      <c r="D9" s="11" t="n">
        <v>3</v>
      </c>
      <c r="E9" s="11" t="n">
        <v>3</v>
      </c>
      <c r="F9" s="11">
        <f>D9*E9</f>
        <v/>
      </c>
      <c r="G9" s="11" t="inlineStr">
        <is>
          <t>AU-11</t>
        </is>
      </c>
      <c r="H9" s="11" t="inlineStr">
        <is>
          <t>AU-11</t>
        </is>
      </c>
      <c r="I9" s="11" t="inlineStr">
        <is>
          <t>RISK-005</t>
        </is>
      </c>
      <c r="J9" s="11" t="inlineStr">
        <is>
          <t>POAM-008</t>
        </is>
      </c>
      <c r="K9" s="11" t="inlineStr">
        <is>
          <t>Control test</t>
        </is>
      </c>
      <c r="L9" s="12" t="inlineStr">
        <is>
          <t>EVID-024; EVID-067</t>
        </is>
      </c>
      <c r="M9" s="13" t="n">
        <v>46198</v>
      </c>
      <c r="N9" s="11" t="inlineStr">
        <is>
          <t>Owen Castillo (Security Engineer)</t>
        </is>
      </c>
      <c r="O9" s="11" t="inlineStr">
        <is>
          <t>Closed</t>
        </is>
      </c>
      <c r="P9" s="12" t="inlineStr">
        <is>
          <t>CloudTrail logs expired after 180 days. Application audit logs recording PHI access (who viewed which patient) were kept 90 days. SIEM hot retention was 90 days.</t>
        </is>
      </c>
      <c r="Q9" s="12" t="inlineStr">
        <is>
          <t>SHCA CSA §4.1 requires 12 months (90 days searchable). HIPAA 164.312(b) audit controls. Customers' breach investigations need historical PHI-access records.</t>
        </is>
      </c>
      <c r="R9" s="12" t="inlineStr">
        <is>
          <t>Retention was set in 2022 for cost reasons, before contractual requirements existed, and was never revisited.</t>
        </is>
      </c>
      <c r="S9" s="12" t="inlineStr">
        <is>
          <t>If a breach were discovered late, which is common, Wrenfield could not show which patients' records were accessed. That could force broader breach notifications than necessary and would breach the SHCA contract.</t>
        </is>
      </c>
      <c r="T9" s="12" t="inlineStr">
        <is>
          <t>Extend retention to 400 days via lifecycle tiering. Archive application audit logs to the log-archive account. Keep 90 days searchable in the SIEM. Add a quarterly oldest-record check.</t>
        </is>
      </c>
      <c r="U9" s="12" t="inlineStr">
        <is>
          <t>Agree. Target 2026-09-15.</t>
        </is>
      </c>
      <c r="V9" s="12" t="inlineStr"/>
    </row>
    <row r="10">
      <c r="A10" s="11" t="inlineStr">
        <is>
          <t>FIND-009</t>
        </is>
      </c>
      <c r="B10" s="12" t="inlineStr">
        <is>
          <t>Privileged-activity log reviews not consistently performed or documented</t>
        </is>
      </c>
      <c r="C10" s="11">
        <f>IF(F10="","",IF(F10&gt;=20,"Critical",IF(F10&gt;=10,"High",IF(F10&gt;=5,"Moderate","Low"))))</f>
        <v/>
      </c>
      <c r="D10" s="11" t="n">
        <v>3</v>
      </c>
      <c r="E10" s="11" t="n">
        <v>3</v>
      </c>
      <c r="F10" s="11">
        <f>D10*E10</f>
        <v/>
      </c>
      <c r="G10" s="11" t="inlineStr">
        <is>
          <t>AU-6</t>
        </is>
      </c>
      <c r="H10" s="11" t="inlineStr">
        <is>
          <t>AU-6</t>
        </is>
      </c>
      <c r="I10" s="11" t="inlineStr">
        <is>
          <t>RISK-005</t>
        </is>
      </c>
      <c r="J10" s="11" t="inlineStr">
        <is>
          <t>POAM-009</t>
        </is>
      </c>
      <c r="K10" s="11" t="inlineStr">
        <is>
          <t>Control test</t>
        </is>
      </c>
      <c r="L10" s="12" t="inlineStr">
        <is>
          <t>EVID-022; EVID-072</t>
        </is>
      </c>
      <c r="M10" s="13" t="n">
        <v>46199</v>
      </c>
      <c r="N10" s="11" t="inlineStr">
        <is>
          <t>Owen Castillo (Security Engineer)</t>
        </is>
      </c>
      <c r="O10" s="11" t="inlineStr">
        <is>
          <t>In Progress</t>
        </is>
      </c>
      <c r="P10" s="12" t="inlineStr">
        <is>
          <t>The weekly privileged-activity review was performed in 19 of 26 weeks and fully effective in 17 of 26 (65%). Missed weeks coincided with a SIEM migration and reviewer PTO. Two reviews were marked "Reviewed" with flagged items left undispositioned. The review scope excluded local AWS IAM users.</t>
        </is>
      </c>
      <c r="Q10" s="12" t="inlineStr">
        <is>
          <t>AU-6. LMS-004 §6 weekly review. HIPAA 164.308(a)(1)(ii)(D) information system activity review.</t>
        </is>
      </c>
      <c r="R10" s="12" t="inlineStr">
        <is>
          <t>The review depends on one person with no backup reviewer, no escalation when a week is missed, and a report scope defined before local IAM users were known.</t>
        </is>
      </c>
      <c r="S10" s="12" t="inlineStr">
        <is>
          <t>Misuse of privileged access, such as an admin creating a backdoor account, could go unnoticed for weeks.</t>
        </is>
      </c>
      <c r="T10" s="12" t="inlineStr">
        <is>
          <t>Name a backup reviewer (the MDR under an SOW change). Auto-create the weekly ticket with escalation after 5 business days. Expand scope to all privileged principals. Require a disposition per flagged item.</t>
        </is>
      </c>
      <c r="U10" s="12" t="inlineStr">
        <is>
          <t>Agree. Committed 2026-09-15; the MDR SOW change was delayed in procurement.</t>
        </is>
      </c>
      <c r="V10" s="12" t="inlineStr"/>
    </row>
    <row r="11">
      <c r="A11" s="11" t="inlineStr">
        <is>
          <t>FIND-010</t>
        </is>
      </c>
      <c r="B11" s="12" t="inlineStr">
        <is>
          <t>Vulnerability remediation exceeds contractual SLAs</t>
        </is>
      </c>
      <c r="C11" s="11">
        <f>IF(F11="","",IF(F11&gt;=20,"Critical",IF(F11&gt;=10,"High",IF(F11&gt;=5,"Moderate","Low"))))</f>
        <v/>
      </c>
      <c r="D11" s="11" t="n">
        <v>3</v>
      </c>
      <c r="E11" s="11" t="n">
        <v>4</v>
      </c>
      <c r="F11" s="11">
        <f>D11*E11</f>
        <v/>
      </c>
      <c r="G11" s="11" t="inlineStr">
        <is>
          <t>SI-2</t>
        </is>
      </c>
      <c r="H11" s="11" t="inlineStr">
        <is>
          <t>SI-2</t>
        </is>
      </c>
      <c r="I11" s="11" t="inlineStr">
        <is>
          <t>RISK-006</t>
        </is>
      </c>
      <c r="J11" s="11" t="inlineStr">
        <is>
          <t>POAM-010</t>
        </is>
      </c>
      <c r="K11" s="11" t="inlineStr">
        <is>
          <t>Control test</t>
        </is>
      </c>
      <c r="L11" s="12" t="inlineStr">
        <is>
          <t>EVID-048; OBS-02; OBS-04</t>
        </is>
      </c>
      <c r="M11" s="13" t="n">
        <v>46202</v>
      </c>
      <c r="N11" s="11" t="inlineStr">
        <is>
          <t>Grace Lindqvist (VP Engineering)</t>
        </is>
      </c>
      <c r="O11" s="11" t="inlineStr">
        <is>
          <t>In Progress</t>
        </is>
      </c>
      <c r="P11" s="12" t="inlineStr">
        <is>
          <t>14 of 61 (23%) Critical and High vulnerabilities in H1 exceeded SLA. 6 remained open past SLA at 2026-06-30, including 2 Critical in the notify-worker container (end-of-life Node.js 16 and OpenSSL 1.1.1). 4 of the 6 are on unsupported hosts where no patch exists. No risk exceptions were filed. Engineering asserts the 2 Critical items are unreachable.</t>
        </is>
      </c>
      <c r="Q11" s="12" t="inlineStr">
        <is>
          <t>SHCA CSA §7.1 (Critical 15 days, High 30 days). VM-003 §5 SLAs and §7 exception process.</t>
        </is>
      </c>
      <c r="R11" s="12" t="inlineStr">
        <is>
          <t>End-of-life runtimes block patching, and the exception process is not used. Remediation work competes with feature work without SLA visibility. 7% of resources are untagged, which delays scan scoping.</t>
        </is>
      </c>
      <c r="S11" s="12" t="inlineStr">
        <is>
          <t>Known exploitable weaknesses stay open longer than allowed, which increases the chance of compromise and breaches the contract.</t>
        </is>
      </c>
      <c r="T11" s="12" t="inlineStr">
        <is>
          <t>Upgrade the notify-worker runtime. File documented exceptions with reachability analysis where they are justified. Add SLA dashboards to engineering planning. Enforce tag policy. Consider SI-2(7) root-cause analysis (new in Release 5.2.0) for repeat SLA misses.</t>
        </is>
      </c>
      <c r="U11" s="12" t="inlineStr">
        <is>
          <t>Partially agree. Engineering disputes the 2 Critical ratings (no network-reachable path) but agrees the exception process must be used. Target 2026-11-05.</t>
        </is>
      </c>
      <c r="V11" s="12" t="inlineStr">
        <is>
          <t>Assessor position: exploitability may justify an exception, but only through the documented VM-003 §7 process with evidence (reachability analysis, compensating controls, CISO approval, and an expiry). An assertion in a meeting is not evidence. The determination stands. Management accepted this approach, and an exception request with reachability analysis is milestone M1.</t>
        </is>
      </c>
    </row>
    <row r="12">
      <c r="A12" s="11" t="inlineStr">
        <is>
          <t>FIND-011</t>
        </is>
      </c>
      <c r="B12" s="12" t="inlineStr">
        <is>
          <t>Unsupported software components in the PHI data path</t>
        </is>
      </c>
      <c r="C12" s="11">
        <f>IF(F12="","",IF(F12&gt;=20,"Critical",IF(F12&gt;=10,"High",IF(F12&gt;=5,"Moderate","Low"))))</f>
        <v/>
      </c>
      <c r="D12" s="11" t="n">
        <v>3</v>
      </c>
      <c r="E12" s="11" t="n">
        <v>4</v>
      </c>
      <c r="F12" s="11">
        <f>D12*E12</f>
        <v/>
      </c>
      <c r="G12" s="11" t="inlineStr">
        <is>
          <t>SA-22</t>
        </is>
      </c>
      <c r="H12" s="11" t="inlineStr">
        <is>
          <t>SA-22</t>
        </is>
      </c>
      <c r="I12" s="11" t="inlineStr">
        <is>
          <t>RISK-007</t>
        </is>
      </c>
      <c r="J12" s="11" t="inlineStr">
        <is>
          <t>POAM-011</t>
        </is>
      </c>
      <c r="K12" s="11" t="inlineStr">
        <is>
          <t>Control test</t>
        </is>
      </c>
      <c r="L12" s="12" t="inlineStr">
        <is>
          <t>EVID-052; EVID-048; VR-012</t>
        </is>
      </c>
      <c r="M12" s="13" t="n">
        <v>46199</v>
      </c>
      <c r="N12" s="11" t="inlineStr">
        <is>
          <t>Tomasz Wierzbicki (Director, Platform Engineering)</t>
        </is>
      </c>
      <c r="O12" s="11" t="inlineStr">
        <is>
          <t>Delayed</t>
        </is>
      </c>
      <c r="P12" s="12" t="inlineStr">
        <is>
          <t>Three components are past vendor or community support: wf-sftp-01 (Windows Server 2012 R2, which pushes the nightly full-PHI extract to Quarrystone and receives 4 customer file drops), legacy-reports (PostgreSQL 11, which holds a PHI extract for monthly outcome reports), and notify-worker (Node.js 16). No SHCA-approved exception exists.</t>
        </is>
      </c>
      <c r="Q12" s="12" t="inlineStr">
        <is>
          <t>SHCA CSA §7.4 (supported software only). SA-22.</t>
        </is>
      </c>
      <c r="R12" s="12" t="inlineStr">
        <is>
          <t>Legacy integration components were never included in the platform modernization, and there is no lifecycle review of non-IaC assets.</t>
        </is>
      </c>
      <c r="S12" s="12" t="inlineStr">
        <is>
          <t>Security flaws in these components will never be patched. They account for 4 of the 6 open past-SLA vulnerabilities.</t>
        </is>
      </c>
      <c r="T12" s="12" t="inlineStr">
        <is>
          <t>Avoid the risk: replace wf-sftp-01 with a managed transfer service (encrypted, IaC-managed), migrate legacy-reports to the supported Aurora replica, and upgrade notify-worker. Keep compensating controls until then (EDR, allowlist, weekly scans, SSM-only admin).</t>
        </is>
      </c>
      <c r="U12" s="12" t="inlineStr">
        <is>
          <t>Agree. Target 2026-11-05. Milestone 2 (SFTP migration) slipped from 2026-09-15 because 2 of 4 customers had not completed partner-side key exchange. Revised target 2026-12-15, approved by the CTO on 2026-09-12.</t>
        </is>
      </c>
      <c r="V12" s="12" t="inlineStr"/>
    </row>
    <row r="13">
      <c r="A13" s="11" t="inlineStr">
        <is>
          <t>FIND-012</t>
        </is>
      </c>
      <c r="B13" s="12" t="inlineStr">
        <is>
          <t>Internet-exposed RDP on legacy host; CSPM alert not triaged</t>
        </is>
      </c>
      <c r="C13" s="11">
        <f>IF(F13="","",IF(F13&gt;=20,"Critical",IF(F13&gt;=10,"High",IF(F13&gt;=5,"Moderate","Low"))))</f>
        <v/>
      </c>
      <c r="D13" s="11" t="n">
        <v>4</v>
      </c>
      <c r="E13" s="11" t="n">
        <v>4</v>
      </c>
      <c r="F13" s="11">
        <f>D13*E13</f>
        <v/>
      </c>
      <c r="G13" s="11" t="inlineStr">
        <is>
          <t>SC-7</t>
        </is>
      </c>
      <c r="H13" s="11" t="inlineStr">
        <is>
          <t>SC-7; CM-6</t>
        </is>
      </c>
      <c r="I13" s="11" t="inlineStr">
        <is>
          <t>RISK-012; RISK-007</t>
        </is>
      </c>
      <c r="J13" s="11" t="inlineStr">
        <is>
          <t>POAM-012</t>
        </is>
      </c>
      <c r="K13" s="11" t="inlineStr">
        <is>
          <t>Control test</t>
        </is>
      </c>
      <c r="L13" s="12" t="inlineStr">
        <is>
          <t>EVID-053; EVID-028; EVID-068; EVID-030</t>
        </is>
      </c>
      <c r="M13" s="13" t="n">
        <v>46205</v>
      </c>
      <c r="N13" s="11" t="inlineStr">
        <is>
          <t>Tomasz Wierzbicki (Director, Platform Engineering)</t>
        </is>
      </c>
      <c r="O13" s="11" t="inlineStr">
        <is>
          <t>Closed</t>
        </is>
      </c>
      <c r="P13" s="12" t="inlineStr">
        <is>
          <t>The security group for wf-sftp-01 allowed RDP (TCP 3389) from 0.0.0.0/0 for 43 days. It was added under emergency change CHG-2026-0412 for a vendor support session, never approved, and never reverted. AWS Security Hub flagged it as High the next day, but no one triaged it. No successful external RDP logons were found (Windows event 4624 logon type 10 reviewed).</t>
        </is>
      </c>
      <c r="Q13" s="12" t="inlineStr">
        <is>
          <t>SC-7 boundary protection. CM-6 deviation approval. CMP-006 emergency change rules. The Security Hub triage standard (High within 7 days).</t>
        </is>
      </c>
      <c r="R13" s="12" t="inlineStr">
        <is>
          <t>The console change path bypasses IaC and approvals. Security Hub findings were not routed to the SRE on-call queue.</t>
        </is>
      </c>
      <c r="S13" s="12" t="inlineStr">
        <is>
          <t>An unsupported Windows server holding PHI extracts was exposed to internet-wide RDP brute-force and exploitation.</t>
        </is>
      </c>
      <c r="T13" s="12" t="inlineStr">
        <is>
          <t>Remove the rule (done within 24h). Route Security Hub High findings to on-call with an SLA. Add an SCP or guardrail that blocks 0.0.0.0/0 on admin ports. Tie emergency changes to automatic revert.</t>
        </is>
      </c>
      <c r="U13" s="12" t="inlineStr">
        <is>
          <t>Agree. Remediated 2026-07-03 and validated 2026-07-10.</t>
        </is>
      </c>
      <c r="V13" s="12" t="inlineStr"/>
    </row>
    <row r="14">
      <c r="A14" s="11" t="inlineStr">
        <is>
          <t>FIND-013</t>
        </is>
      </c>
      <c r="B14" s="12" t="inlineStr">
        <is>
          <t>Backup restoration never tested</t>
        </is>
      </c>
      <c r="C14" s="11">
        <f>IF(F14="","",IF(F14&gt;=20,"Critical",IF(F14&gt;=10,"High",IF(F14&gt;=5,"Moderate","Low"))))</f>
        <v/>
      </c>
      <c r="D14" s="11" t="n">
        <v>2</v>
      </c>
      <c r="E14" s="11" t="n">
        <v>4</v>
      </c>
      <c r="F14" s="11">
        <f>D14*E14</f>
        <v/>
      </c>
      <c r="G14" s="11" t="inlineStr">
        <is>
          <t>CP-9(1)</t>
        </is>
      </c>
      <c r="H14" s="11" t="inlineStr">
        <is>
          <t>CP-9(1)</t>
        </is>
      </c>
      <c r="I14" s="11" t="inlineStr">
        <is>
          <t>RISK-008</t>
        </is>
      </c>
      <c r="J14" s="11" t="inlineStr">
        <is>
          <t>POAM-013</t>
        </is>
      </c>
      <c r="K14" s="11" t="inlineStr">
        <is>
          <t>Control test</t>
        </is>
      </c>
      <c r="L14" s="12" t="inlineStr">
        <is>
          <t>EVID-035; EVID-069</t>
        </is>
      </c>
      <c r="M14" s="13" t="n">
        <v>46199</v>
      </c>
      <c r="N14" s="11" t="inlineStr">
        <is>
          <t>Tomasz Wierzbicki (Director, Platform Engineering)</t>
        </is>
      </c>
      <c r="O14" s="11" t="inlineStr">
        <is>
          <t>Closed</t>
        </is>
      </c>
      <c r="P14" s="12" t="inlineStr">
        <is>
          <t>Backups are taken, protected, and copied cross-region (CP-9 satisfied), but no restore of the PHI database had ever been performed or documented. Backup job success was treated as proof of recoverability.</t>
        </is>
      </c>
      <c r="Q14" s="12" t="inlineStr">
        <is>
          <t>CP-9(1). SHCA CSA §8.1 (tested restoration annually). HIPAA 164.308(a)(7)(ii)(D).</t>
        </is>
      </c>
      <c r="R14" s="12" t="inlineStr">
        <is>
          <t>Recovery was assumed rather than tested. There was no scheduled restore exercise in the BC/DR plan.</t>
        </is>
      </c>
      <c r="S14" s="12" t="inlineStr">
        <is>
          <t>In a ransomware or corruption event, recovery time and completeness were unknown. RTO and RPO were promises, not demonstrated capabilities.</t>
        </is>
      </c>
      <c r="T14" s="12" t="inlineStr">
        <is>
          <t>Perform and document a restore from the DR vault into an isolated account, with timings and integrity checks. Schedule it semi-annually.</t>
        </is>
      </c>
      <c r="U14" s="12" t="inlineStr">
        <is>
          <t>Agree. Target 2026-09-01.</t>
        </is>
      </c>
      <c r="V14" s="12" t="inlineStr"/>
    </row>
    <row r="15">
      <c r="A15" s="11" t="inlineStr">
        <is>
          <t>FIND-014</t>
        </is>
      </c>
      <c r="B15" s="12" t="inlineStr">
        <is>
          <t>Incident response and contingency plans not tested within 12 months</t>
        </is>
      </c>
      <c r="C15" s="11">
        <f>IF(F15="","",IF(F15&gt;=20,"Critical",IF(F15&gt;=10,"High",IF(F15&gt;=5,"Moderate","Low"))))</f>
        <v/>
      </c>
      <c r="D15" s="11" t="n">
        <v>3</v>
      </c>
      <c r="E15" s="11" t="n">
        <v>3</v>
      </c>
      <c r="F15" s="11">
        <f>D15*E15</f>
        <v/>
      </c>
      <c r="G15" s="11" t="inlineStr">
        <is>
          <t>IR-3</t>
        </is>
      </c>
      <c r="H15" s="11" t="inlineStr">
        <is>
          <t>IR-3; CP-4</t>
        </is>
      </c>
      <c r="I15" s="11" t="inlineStr">
        <is>
          <t>RISK-009; RISK-008</t>
        </is>
      </c>
      <c r="J15" s="11" t="inlineStr">
        <is>
          <t>POAM-014</t>
        </is>
      </c>
      <c r="K15" s="11" t="inlineStr">
        <is>
          <t>Control test</t>
        </is>
      </c>
      <c r="L15" s="12" t="inlineStr">
        <is>
          <t>EVID-033; EVID-037; OBS-03</t>
        </is>
      </c>
      <c r="M15" s="13" t="n">
        <v>46199</v>
      </c>
      <c r="N15" s="11" t="inlineStr">
        <is>
          <t>Owen Castillo (Security Engineer)</t>
        </is>
      </c>
      <c r="O15" s="11" t="inlineStr">
        <is>
          <t>In Progress</t>
        </is>
      </c>
      <c r="P15" s="12" t="inlineStr">
        <is>
          <t>The last IR tabletop was 2024-09-18, 21 months before fieldwork. There has been no plan-level contingency test (only 2024 engineering failover notes). The SHCA 24-hour incident-reporting path and the IR contact roster (2 departed staff) have never been exercised or validated.</t>
        </is>
      </c>
      <c r="Q15" s="12" t="inlineStr">
        <is>
          <t>IR-3, CP-4, IRP-005 and BCP-003 (annual testing), SHCA CSA §5.2 and §8.1.</t>
        </is>
      </c>
      <c r="R15" s="12" t="inlineStr">
        <is>
          <t>Exercises were deferred twice for delivery priorities, with no escalation.</t>
        </is>
      </c>
      <c r="S15" s="12" t="inlineStr">
        <is>
          <t>Roles, decision rights, and notification timelines are untested. Real incidents were handled well (IR-4), but a major ransomware event would test untested paths.</t>
        </is>
      </c>
      <c r="T15" s="12" t="inlineStr">
        <is>
          <t>Run a combined ransomware tabletop (IR + CP) including MDR, Legal/Privacy, Customer Ops, and executives. Update IRP-005 with the SHCA 24h step and the current roster. Track after-action items in the POA&amp;M.</t>
        </is>
      </c>
      <c r="U15" s="12" t="inlineStr">
        <is>
          <t>Agree. Tabletop scheduled 2026-10-14. Target 2026-11-15.</t>
        </is>
      </c>
      <c r="V15" s="12" t="inlineStr"/>
    </row>
    <row r="16">
      <c r="A16" s="11" t="inlineStr">
        <is>
          <t>FIND-015</t>
        </is>
      </c>
      <c r="B16" s="12" t="inlineStr">
        <is>
          <t>Third-party risk monitoring incomplete; no C-SCRM plan</t>
        </is>
      </c>
      <c r="C16" s="11">
        <f>IF(F16="","",IF(F16&gt;=20,"Critical",IF(F16&gt;=10,"High",IF(F16&gt;=5,"Moderate","Low"))))</f>
        <v/>
      </c>
      <c r="D16" s="11" t="n">
        <v>3</v>
      </c>
      <c r="E16" s="11" t="n">
        <v>3</v>
      </c>
      <c r="F16" s="11">
        <f>D16*E16</f>
        <v/>
      </c>
      <c r="G16" s="11" t="inlineStr">
        <is>
          <t>SR-6</t>
        </is>
      </c>
      <c r="H16" s="11" t="inlineStr">
        <is>
          <t>SR-6; SA-9; SR-2</t>
        </is>
      </c>
      <c r="I16" s="11" t="inlineStr">
        <is>
          <t>RISK-011; RISK-010</t>
        </is>
      </c>
      <c r="J16" s="11" t="inlineStr">
        <is>
          <t>POAM-015</t>
        </is>
      </c>
      <c r="K16" s="11" t="inlineStr">
        <is>
          <t>Control test (vendor program)</t>
        </is>
      </c>
      <c r="L16" s="12" t="inlineStr">
        <is>
          <t>EVID-049; EVID-059</t>
        </is>
      </c>
      <c r="M16" s="13" t="n">
        <v>46220</v>
      </c>
      <c r="N16" s="11" t="inlineStr">
        <is>
          <t>Beth Kowalski (Vendor Management Lead)</t>
        </is>
      </c>
      <c r="O16" s="11" t="inlineStr">
        <is>
          <t>In Progress</t>
        </is>
      </c>
      <c r="P16" s="12" t="inlineStr">
        <is>
          <t>5 of 14 Tier 1–2 vendors (36%) lack a current assessment, including Tier 1 Pulsewire Connect (last 2024-08) and Ironpeak MDR (never assessed after onboarding). No fourth-party (subcontractor) inventory exists. There is no supply chain risk management plan (outline only). 3 older contracts lack breach-notification timelines.</t>
        </is>
      </c>
      <c r="Q16" s="12" t="inlineStr">
        <is>
          <t>SA-9, SR-6 (reassess at tier frequency), SR-2, TPRM-007, SHCA CSA §6.3 subcontractor inventory.</t>
        </is>
      </c>
      <c r="R16" s="12" t="inlineStr">
        <is>
          <t>Vendor management is one person, part time. Reassessment is spreadsheet-tracked with no reminders, and the program was not resourced as the vendor count grew.</t>
        </is>
      </c>
      <c r="S16" s="12" t="inlineStr">
        <is>
          <t>Vendor risks can drift unnoticed, as the Quarrystone offshore access (FIND-016) shows.</t>
        </is>
      </c>
      <c r="T16" s="12" t="inlineStr">
        <is>
          <t>Clear the overdue assessments (Tier 1 first). Build a fourth-party inventory from vendor questionnaires. Approve a C-SCRM plan aligned to SP 800-161r1-upd1 and SP 800-18r2. Add contract-renewal triggers.</t>
        </is>
      </c>
      <c r="U16" s="12" t="inlineStr">
        <is>
          <t>Agree. Target 2027-02-03 (Moderate SLA), with Tier 1 vendors by 2026-11-30.</t>
        </is>
      </c>
      <c r="V16" s="12" t="inlineStr"/>
    </row>
    <row r="17">
      <c r="A17" s="11" t="inlineStr">
        <is>
          <t>FIND-016</t>
        </is>
      </c>
      <c r="B17" s="12" t="inlineStr">
        <is>
          <t>Quarrystone Analytics: offshore PHI access, inadequate breach-notification terms, and excessive data sharing</t>
        </is>
      </c>
      <c r="C17" s="11">
        <f>IF(F17="","",IF(F17&gt;=20,"Critical",IF(F17&gt;=10,"High",IF(F17&gt;=5,"Moderate","Low"))))</f>
        <v/>
      </c>
      <c r="D17" s="11" t="n">
        <v>3</v>
      </c>
      <c r="E17" s="11" t="n">
        <v>5</v>
      </c>
      <c r="F17" s="11">
        <f>D17*E17</f>
        <v/>
      </c>
      <c r="G17" s="11" t="inlineStr">
        <is>
          <t>SA-9</t>
        </is>
      </c>
      <c r="H17" s="11" t="inlineStr">
        <is>
          <t>SA-9; SR-6</t>
        </is>
      </c>
      <c r="I17" s="11" t="inlineStr">
        <is>
          <t>RISK-010</t>
        </is>
      </c>
      <c r="J17" s="11" t="inlineStr">
        <is>
          <t>POAM-016</t>
        </is>
      </c>
      <c r="K17" s="11" t="inlineStr">
        <is>
          <t>Vendor assessment</t>
        </is>
      </c>
      <c r="L17" s="12" t="inlineStr">
        <is>
          <t>VR-001; VR-002; VR-003; VR-004; VR-005; VR-008; VR-010; EVID-050; EVID-051; EVID-073</t>
        </is>
      </c>
      <c r="M17" s="13" t="n">
        <v>46220</v>
      </c>
      <c r="N17" s="11" t="inlineStr">
        <is>
          <t>Dr. Miriam Castell (VP Clinical Analytics, business owner)</t>
        </is>
      </c>
      <c r="O17" s="11" t="inlineStr">
        <is>
          <t>In Progress</t>
        </is>
      </c>
      <c r="P17" s="12" t="inlineStr">
        <is>
          <t>Quarrystone receives a nightly full-PHI extract (about 410k patients). (1) An undisclosed offshore subcontractor (Pune, India) had production access to Wrenfield PHI (VR-001, rated Critical, escalated to the CEO 2026-07-17; interim suspension confirmed 2026-07-24). (2) The BAA allows 30-day breach notice, against Wrenfield's 24h SHCA and 5-business-day customer obligations (VR-002). (3) The extract includes fields not needed for scoring: full address, phone, email, free-text notes (VR-003). Supporting issues: pentest evidence stale, data return undefined, secondary-use ambiguity.</t>
        </is>
      </c>
      <c r="Q17" s="12" t="inlineStr">
        <is>
          <t>SHCA CSA §6.1 (US-only) and §6.3 (flow-down). HIPAA 164.502(b) minimum necessary and 164.314(a). 2 customer BAAs prohibit offshore access. SA-9.</t>
        </is>
      </c>
      <c r="R17" s="12" t="inlineStr">
        <is>
          <t>The contract was signed in 2023 on the vendor's paper before TPRM-007 existed. The questionnaire relied on self-attestation. Data minimization was never designed into the extract.</t>
        </is>
      </c>
      <c r="S17" s="12" t="inlineStr">
        <is>
          <t>Potential breach of 2 current customer BAAs and a blocking condition for SHCA. A breach at the vendor could go unreported to Wrenfield for up to 30 days.</t>
        </is>
      </c>
      <c r="T17" s="12" t="inlineStr">
        <is>
          <t>Conditional continuation (Mitigate + Transfer): execute the amendment (US-only access with technical enforcement, 24h notification, subcontractor approval, data return and destruction within 30 days with a certificate, log cooperation). Minimize the extract to scoring-required fields with tokenized identifiers. Obtain a current pentest and retest. Do not send SHCA data until the conditions are met.</t>
        </is>
      </c>
      <c r="U17" s="12" t="inlineStr">
        <is>
          <t>Agree. The CEO approved conditional continuation on 2026-07-22. The amendment is in redline v3. Target 2026-11-05.</t>
        </is>
      </c>
      <c r="V17" s="12" t="inlineStr"/>
    </row>
    <row r="18">
      <c r="A18" s="11" t="inlineStr">
        <is>
          <t>FIND-017</t>
        </is>
      </c>
      <c r="B18" s="12" t="inlineStr">
        <is>
          <t>System security plan outdated and overstates control implementation</t>
        </is>
      </c>
      <c r="C18" s="11">
        <f>IF(F18="","",IF(F18&gt;=20,"Critical",IF(F18&gt;=10,"High",IF(F18&gt;=5,"Moderate","Low"))))</f>
        <v/>
      </c>
      <c r="D18" s="11" t="n">
        <v>2</v>
      </c>
      <c r="E18" s="11" t="n">
        <v>2</v>
      </c>
      <c r="F18" s="11">
        <f>D18*E18</f>
        <v/>
      </c>
      <c r="G18" s="11" t="inlineStr">
        <is>
          <t>PL-2</t>
        </is>
      </c>
      <c r="H18" s="11" t="inlineStr">
        <is>
          <t>PL-2</t>
        </is>
      </c>
      <c r="I18" s="11" t="inlineStr">
        <is>
          <t>RISK-016</t>
        </is>
      </c>
      <c r="J18" s="11" t="inlineStr">
        <is>
          <t>POAM-017</t>
        </is>
      </c>
      <c r="K18" s="11" t="inlineStr">
        <is>
          <t>Control test</t>
        </is>
      </c>
      <c r="L18" s="12" t="inlineStr">
        <is>
          <t>EVID-041; OBS-01</t>
        </is>
      </c>
      <c r="M18" s="13" t="n">
        <v>46217</v>
      </c>
      <c r="N18" s="11" t="inlineStr">
        <is>
          <t>Priya Raman (Security Compliance Manager)</t>
        </is>
      </c>
      <c r="O18" s="11" t="inlineStr">
        <is>
          <t>In Progress</t>
        </is>
      </c>
      <c r="P18" s="12" t="inlineStr">
        <is>
          <t>SSP v1.3 (2025-02) predates the EKS migration, the log-archive account, and the Quarrystone SFTP flow, and it states a higher implementation status than testing supports for 27 of the 61 in-scope controls.</t>
        </is>
      </c>
      <c r="Q18" s="12" t="inlineStr">
        <is>
          <t>PL-2. SHCA CSA §2.1 (current SSP expected with the assessment package).</t>
        </is>
      </c>
      <c r="R18" s="12" t="inlineStr">
        <is>
          <t>The SSP was maintained as a SOC 2 narrative, with no update trigger tied to architecture changes.</t>
        </is>
      </c>
      <c r="S18" s="12" t="inlineStr">
        <is>
          <t>SHCA and customers would receive an inaccurate description of the system, a credibility and contractual risk rather than a direct technical one.</t>
        </is>
      </c>
      <c r="T18" s="12" t="inlineStr">
        <is>
          <t>Rewrite the SSP in control-by-control form using this matrix as the source. Adopt the SP 800-18 Rev. 2 structure. Add architecture-change triggers to the change process.</t>
        </is>
      </c>
      <c r="U18" s="12" t="inlineStr">
        <is>
          <t>Agree. Target 2026-12-15.</t>
        </is>
      </c>
      <c r="V18" s="12" t="inlineStr"/>
    </row>
    <row r="19">
      <c r="A19" s="11" t="inlineStr">
        <is>
          <t>FIND-018</t>
        </is>
      </c>
      <c r="B19" s="12" t="inlineStr">
        <is>
          <t>Emergency and console changes bypass approval</t>
        </is>
      </c>
      <c r="C19" s="11">
        <f>IF(F19="","",IF(F19&gt;=20,"Critical",IF(F19&gt;=10,"High",IF(F19&gt;=5,"Moderate","Low"))))</f>
        <v/>
      </c>
      <c r="D19" s="11" t="n">
        <v>3</v>
      </c>
      <c r="E19" s="11" t="n">
        <v>3</v>
      </c>
      <c r="F19" s="11">
        <f>D19*E19</f>
        <v/>
      </c>
      <c r="G19" s="11" t="inlineStr">
        <is>
          <t>CM-3</t>
        </is>
      </c>
      <c r="H19" s="11" t="inlineStr">
        <is>
          <t>CM-3</t>
        </is>
      </c>
      <c r="I19" s="11" t="inlineStr">
        <is>
          <t>RISK-014</t>
        </is>
      </c>
      <c r="J19" s="11" t="inlineStr">
        <is>
          <t>POAM-018</t>
        </is>
      </c>
      <c r="K19" s="11" t="inlineStr">
        <is>
          <t>Control test</t>
        </is>
      </c>
      <c r="L19" s="12" t="inlineStr">
        <is>
          <t>EVID-030</t>
        </is>
      </c>
      <c r="M19" s="13" t="n">
        <v>46202</v>
      </c>
      <c r="N19" s="11" t="inlineStr">
        <is>
          <t>Tomasz Wierzbicki (Director, Platform Engineering)</t>
        </is>
      </c>
      <c r="O19" s="11" t="inlineStr">
        <is>
          <t>In Progress</t>
        </is>
      </c>
      <c r="P19" s="12" t="inlineStr">
        <is>
          <t>3 of 25 sampled changes failed. CHG-2026-0412 (emergency, no approval, never reverted, which caused FIND-012). CHG-2026-0288 (retro approval after 9 business days against a standard of 2). CHG-2026-0356 (deployed 5h38m before approval was recorded). 2 of the 3 emergency changes in the sample failed.</t>
        </is>
      </c>
      <c r="Q19" s="12" t="inlineStr">
        <is>
          <t>CM-3. CMP-006 §4.3. SOC 2 CC8.1 commitment.</t>
        </is>
      </c>
      <c r="R19" s="12" t="inlineStr">
        <is>
          <t>The code pipeline enforces review, but the console and emergency paths rely on people remembering. No report flags emergency changes awaiting retro approval.</t>
        </is>
      </c>
      <c r="S19" s="12" t="inlineStr">
        <is>
          <t>Unreviewed changes can introduce outages or security regressions, as FIND-012 shows.</t>
        </is>
      </c>
      <c r="T19" s="12" t="inlineStr">
        <is>
          <t>Auto-open a retro-approval task on every emergency change with a 2-day escalation. Alert on console changes to security groups and IAM (CloudTrail + EventBridge). Require approval before the deploy job runs.</t>
        </is>
      </c>
      <c r="U19" s="12" t="inlineStr">
        <is>
          <t>Agree. Committed 2026-09-11. Milestone 1 is done; milestones 2 and 3 are waiting on an SRE backlog slot.</t>
        </is>
      </c>
      <c r="V19" s="12" t="inlineStr"/>
    </row>
    <row r="20">
      <c r="A20" s="11" t="inlineStr">
        <is>
          <t>FIND-019</t>
        </is>
      </c>
      <c r="B20" s="12" t="inlineStr">
        <is>
          <t>Security awareness training completion below 100%</t>
        </is>
      </c>
      <c r="C20" s="11">
        <f>IF(F20="","",IF(F20&gt;=20,"Critical",IF(F20&gt;=10,"High",IF(F20&gt;=5,"Moderate","Low"))))</f>
        <v/>
      </c>
      <c r="D20" s="11" t="n">
        <v>2</v>
      </c>
      <c r="E20" s="11" t="n">
        <v>2</v>
      </c>
      <c r="F20" s="11">
        <f>D20*E20</f>
        <v/>
      </c>
      <c r="G20" s="11" t="inlineStr">
        <is>
          <t>AT-2</t>
        </is>
      </c>
      <c r="H20" s="11" t="inlineStr">
        <is>
          <t>AT-2</t>
        </is>
      </c>
      <c r="I20" s="11" t="inlineStr">
        <is>
          <t>RISK-015</t>
        </is>
      </c>
      <c r="J20" s="11" t="inlineStr">
        <is>
          <t>POAM-019</t>
        </is>
      </c>
      <c r="K20" s="11" t="inlineStr">
        <is>
          <t>Control test</t>
        </is>
      </c>
      <c r="L20" s="12" t="inlineStr">
        <is>
          <t>EVID-019; EVID-070</t>
        </is>
      </c>
      <c r="M20" s="13" t="n">
        <v>46199</v>
      </c>
      <c r="N20" s="11" t="inlineStr">
        <is>
          <t>Denise Yamamoto (Director of People)</t>
        </is>
      </c>
      <c r="O20" s="11" t="inlineStr">
        <is>
          <t>Completed – Pending Validation</t>
        </is>
      </c>
      <c r="P20" s="12" t="inlineStr">
        <is>
          <t>316 of 347 workforce members (91%) completed annual training. 31 were overdue, 4 of them with PHI data-store access. The policy's access-suspension step for users more than 30 days overdue was not enforced.</t>
        </is>
      </c>
      <c r="Q20" s="12" t="inlineStr">
        <is>
          <t>AT-2. HIPAA 164.308(a)(5)(i). Training policy HR-011.</t>
        </is>
      </c>
      <c r="R20" s="12" t="inlineStr">
        <is>
          <t>Overdue reminders went to users only, with no manager escalation or enforcement.</t>
        </is>
      </c>
      <c r="S20" s="12" t="inlineStr">
        <is>
          <t>A small increase in phishing and data-handling risk. Mainly a compliance gap.</t>
        </is>
      </c>
      <c r="T20" s="12" t="inlineStr">
        <is>
          <t>Enforce the suspension step via an Okta group rule. Escalate to managers at 14 days. Report completion monthly.</t>
        </is>
      </c>
      <c r="U20" s="12" t="inlineStr">
        <is>
          <t>Agree. Enforcement live 2026-08-20; 344 of 347 complete as of 2026-09-12, with 3 on leave.</t>
        </is>
      </c>
      <c r="V20" s="12" t="inlineStr"/>
    </row>
  </sheetData>
  <autoFilter ref="A1:V20"/>
  <conditionalFormatting sqref="C2:C220">
    <cfRule type="expression" priority="1" dxfId="0">
      <formula>C2="Critical"</formula>
    </cfRule>
    <cfRule type="expression" priority="2" dxfId="1">
      <formula>C2="High"</formula>
    </cfRule>
    <cfRule type="expression" priority="3" dxfId="2">
      <formula>C2="Moderate"</formula>
    </cfRule>
    <cfRule type="expression" priority="4" dxfId="3">
      <formula>C2="Low"</formula>
    </cfRule>
  </conditionalFormatting>
  <conditionalFormatting sqref="O2:O220">
    <cfRule type="expression" priority="5" dxfId="4">
      <formula>O2="Satisfied"</formula>
    </cfRule>
    <cfRule type="expression" priority="6" dxfId="5">
      <formula>O2="Other Than Satisfied"</formula>
    </cfRule>
    <cfRule type="expression" priority="7" dxfId="4">
      <formula>O2="Closed"</formula>
    </cfRule>
    <cfRule type="expression" priority="8" dxfId="4">
      <formula>O2="Accepted"</formula>
    </cfRule>
    <cfRule type="expression" priority="9" dxfId="6">
      <formula>O2="Risk Accepted"</formula>
    </cfRule>
    <cfRule type="expression" priority="10" dxfId="5">
      <formula>O2="Overdue"</formula>
    </cfRule>
    <cfRule type="expression" priority="11" dxfId="5">
      <formula>O2="Yes"</formula>
    </cfRule>
    <cfRule type="expression" priority="12" dxfId="5">
      <formula>O2="Insufficient"</formula>
    </cfRule>
    <cfRule type="expression" priority="13" dxfId="7">
      <formula>O2="Rework Required"</formula>
    </cfRule>
    <cfRule type="expression" priority="14" dxfId="7">
      <formula>O2="Delayed"</formula>
    </cfRule>
  </conditionalFormatting>
  <dataValidations count="1">
    <dataValidation sqref="O2:O220" showDropDown="0" showInputMessage="0" showErrorMessage="1" allowBlank="1" errorTitle="Controlled value" error="Choose a value from the list (controlled vocabulary)." type="list">
      <formula1>"Open,In Progress,Delayed,Completed – Pending Validation,Closed,Risk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42" customWidth="1" min="5" max="5"/>
    <col width="42" customWidth="1" min="6" max="6"/>
    <col width="16" customWidth="1" min="7" max="7"/>
    <col width="42" customWidth="1" min="8" max="8"/>
    <col width="70" customWidth="1" min="9" max="9"/>
    <col width="16" customWidth="1" min="10" max="10"/>
    <col width="42" customWidth="1" min="11" max="11"/>
    <col width="16" customWidth="1" min="12" max="12"/>
    <col width="16" customWidth="1" min="13" max="13"/>
    <col width="22" customWidth="1" min="14" max="14"/>
    <col width="21" customWidth="1" min="15" max="15"/>
    <col width="42" customWidth="1" min="16" max="16"/>
    <col width="16" customWidth="1" min="17" max="17"/>
    <col width="18" customWidth="1" min="18" max="18"/>
    <col width="16" customWidth="1" min="19" max="19"/>
    <col width="16" customWidth="1" min="20" max="20"/>
    <col width="16" customWidth="1" min="21" max="21"/>
    <col width="20" customWidth="1" min="22" max="22"/>
    <col width="42" customWidth="1" min="23" max="23"/>
    <col width="42" customWidth="1" min="24" max="24"/>
    <col width="18" customWidth="1" min="25" max="25"/>
    <col width="16" customWidth="1" min="26" max="26"/>
    <col width="16" customWidth="1" min="27" max="27"/>
    <col width="42" customWidth="1" min="28" max="28"/>
    <col width="42" customWidth="1" min="29" max="29"/>
  </cols>
  <sheetData>
    <row r="1" ht="32" customHeight="1">
      <c r="A1" s="10" t="inlineStr">
        <is>
          <t>POA&amp;M ID</t>
        </is>
      </c>
      <c r="B1" s="10" t="inlineStr">
        <is>
          <t>Related Finding</t>
        </is>
      </c>
      <c r="C1" s="10" t="inlineStr">
        <is>
          <t>Related Control</t>
        </is>
      </c>
      <c r="D1" s="10" t="inlineStr">
        <is>
          <t>Related Risk</t>
        </is>
      </c>
      <c r="E1" s="10" t="inlineStr">
        <is>
          <t>Weakness</t>
        </is>
      </c>
      <c r="F1" s="10" t="inlineStr">
        <is>
          <t>Root Cause</t>
        </is>
      </c>
      <c r="G1" s="10" t="inlineStr">
        <is>
          <t>Severity</t>
        </is>
      </c>
      <c r="H1" s="10" t="inlineStr">
        <is>
          <t>Corrective Action</t>
        </is>
      </c>
      <c r="I1" s="10" t="inlineStr">
        <is>
          <t>Milestones</t>
        </is>
      </c>
      <c r="J1" s="10" t="inlineStr">
        <is>
          <t>Owner</t>
        </is>
      </c>
      <c r="K1" s="10" t="inlineStr">
        <is>
          <t>Resources Required</t>
        </is>
      </c>
      <c r="L1" s="10" t="inlineStr">
        <is>
          <t>Open Date</t>
        </is>
      </c>
      <c r="M1" s="10" t="inlineStr">
        <is>
          <t>SLA Date</t>
        </is>
      </c>
      <c r="N1" s="10" t="inlineStr">
        <is>
          <t>Original Target Date</t>
        </is>
      </c>
      <c r="O1" s="10" t="inlineStr">
        <is>
          <t>Current Target Date</t>
        </is>
      </c>
      <c r="P1" s="10" t="inlineStr">
        <is>
          <t>Target Change Reason</t>
        </is>
      </c>
      <c r="Q1" s="10" t="inlineStr">
        <is>
          <t>Current Status</t>
        </is>
      </c>
      <c r="R1" s="10" t="inlineStr">
        <is>
          <t>Percent Complete</t>
        </is>
      </c>
      <c r="S1" s="10" t="inlineStr">
        <is>
          <t>Days Open</t>
        </is>
      </c>
      <c r="T1" s="10" t="inlineStr">
        <is>
          <t>Overdue?</t>
        </is>
      </c>
      <c r="U1" s="10" t="inlineStr">
        <is>
          <t>Slipped?</t>
        </is>
      </c>
      <c r="V1" s="10" t="inlineStr">
        <is>
          <t>Target Within SLA?</t>
        </is>
      </c>
      <c r="W1" s="10" t="inlineStr">
        <is>
          <t>Dependencies</t>
        </is>
      </c>
      <c r="X1" s="10" t="inlineStr">
        <is>
          <t>Validation Method</t>
        </is>
      </c>
      <c r="Y1" s="10" t="inlineStr">
        <is>
          <t>Closure Evidence</t>
        </is>
      </c>
      <c r="Z1" s="10" t="inlineStr">
        <is>
          <t>Validated By</t>
        </is>
      </c>
      <c r="AA1" s="10" t="inlineStr">
        <is>
          <t>Closure Date</t>
        </is>
      </c>
      <c r="AB1" s="10" t="inlineStr">
        <is>
          <t>Residual Risk</t>
        </is>
      </c>
      <c r="AC1" s="10" t="inlineStr">
        <is>
          <t>Notes</t>
        </is>
      </c>
    </row>
    <row r="2">
      <c r="A2" s="11" t="inlineStr">
        <is>
          <t>POAM-001</t>
        </is>
      </c>
      <c r="B2" s="11" t="inlineStr">
        <is>
          <t>FIND-001</t>
        </is>
      </c>
      <c r="C2" s="11" t="inlineStr">
        <is>
          <t>AC-2(3); AC-2; AC-2(1); PS-4; PS-7</t>
        </is>
      </c>
      <c r="D2" s="11" t="inlineStr">
        <is>
          <t>RISK-002</t>
        </is>
      </c>
      <c r="E2" s="12" t="inlineStr">
        <is>
          <t>Terminated workforce retained active access (SSO, local AWS IAM, vendor portal)</t>
        </is>
      </c>
      <c r="F2" s="12" t="inlineStr">
        <is>
          <t>Manual HR-email-to-IT ticketing with no automated trigger; local accounts not in offboarding checklist; contractor end dates not enforced</t>
        </is>
      </c>
      <c r="G2" s="11" t="inlineStr">
        <is>
          <t>High</t>
        </is>
      </c>
      <c r="H2" s="12" t="inlineStr">
        <is>
          <t>Disable identified accounts; implement daily HR-to-Okta/AWS/portal reconciliation with auto-ticketing; update SOP-IAM-02 with a local-account checklist and 24h SLA</t>
        </is>
      </c>
      <c r="I2" s="12" t="inlineStr">
        <is>
          <t>M1 Disable 4 identified accounts (AR-EX-01..04); investigate post-termination sign-in (INC-2026-0117) (due 2026-07-10; Done) | M2 Deploy daily HR-to-Okta/AWS IAM/portal reconciliation job with auto-ticketing (due 2026-08-21; Done) | M3 Update SOP-IAM-02 (24h SLA, local-account checklist, vendor portals); train IT (due 2026-08-28; Done) | M4 Assessor validation: re-perform termination test on all terminations since 2026-07-01 + 5 job runs (due 2026-09-11; Done)</t>
        </is>
      </c>
      <c r="J2" s="11" t="inlineStr">
        <is>
          <t>Nadia Rahman (IAM Engineer)</t>
        </is>
      </c>
      <c r="K2" s="12" t="inlineStr">
        <is>
          <t>IAM Engineer (about 60h); Okta Workflows (existing license); HR ops (4h)</t>
        </is>
      </c>
      <c r="L2" s="13" t="n">
        <v>46241</v>
      </c>
      <c r="M2" s="13">
        <f>L2+IF(G2="Critical",30,IF(G2="High",90,IF(G2="Moderate",180,365)))</f>
        <v/>
      </c>
      <c r="N2" s="13" t="n">
        <v>46276</v>
      </c>
      <c r="O2" s="13" t="n">
        <v>46276</v>
      </c>
      <c r="P2" s="12" t="inlineStr"/>
      <c r="Q2" s="11" t="inlineStr">
        <is>
          <t>Closed</t>
        </is>
      </c>
      <c r="R2" s="14">
        <f>IFERROR(COUNTIFS(Milestones!$A:$A,A2,Milestones!$E:$E,"Done")/COUNTIF(Milestones!$A:$A,A2),0)</f>
        <v/>
      </c>
      <c r="S2" s="11">
        <f>IF(Q2="Closed",AA2-L2,README!$B$4-L2)</f>
        <v/>
      </c>
      <c r="T2" s="11">
        <f>IF(AND(Q2&lt;&gt;"Closed",Q2&lt;&gt;"Risk Accepted",O2&lt;README!$B$4),"Yes","No")</f>
        <v/>
      </c>
      <c r="U2" s="11">
        <f>IF(O2&lt;&gt;N2,"Yes","No")</f>
        <v/>
      </c>
      <c r="V2" s="11">
        <f>IF(Q2="Risk Accepted","n/a (acceptance expiry)",IF(O2&lt;=M2,"Yes","No"))</f>
        <v/>
      </c>
      <c r="W2" s="12" t="inlineStr">
        <is>
          <t>Okta Workflows connector to PeopleHub</t>
        </is>
      </c>
      <c r="X2" s="12" t="inlineStr">
        <is>
          <t>Re-performance: tools/assessment_tests.py termination-validation (7 of 7 within 24h, 0 job exceptions); inspection of IAM credential report (break-glass only)</t>
        </is>
      </c>
      <c r="Y2" s="11" t="inlineStr">
        <is>
          <t>EVID-061; EVID-062; EVID-064; EVID-078</t>
        </is>
      </c>
      <c r="Z2" s="11" t="inlineStr">
        <is>
          <t>Lead assessor</t>
        </is>
      </c>
      <c r="AA2" s="13" t="n">
        <v>46275</v>
      </c>
      <c r="AB2" s="12" t="inlineStr">
        <is>
          <t>Moderate (RISK-002 residual L2 x I4 = 8)</t>
        </is>
      </c>
      <c r="AC2" s="12" t="inlineStr">
        <is>
          <t>Operating sample is small (7); full re-test scheduled for FY27.</t>
        </is>
      </c>
    </row>
    <row r="3">
      <c r="A3" s="11" t="inlineStr">
        <is>
          <t>POAM-002</t>
        </is>
      </c>
      <c r="B3" s="11" t="inlineStr">
        <is>
          <t>FIND-002</t>
        </is>
      </c>
      <c r="C3" s="11" t="inlineStr">
        <is>
          <t>IA-2(1); IA-2(2)</t>
        </is>
      </c>
      <c r="D3" s="11" t="inlineStr">
        <is>
          <t>RISK-003</t>
        </is>
      </c>
      <c r="E3" s="12" t="inlineStr">
        <is>
          <t>MFA exemption group and AWS IAM user without MFA</t>
        </is>
      </c>
      <c r="F3" s="12" t="inlineStr">
        <is>
          <t>Exceptions granted without workflow, expiry, or review; legacy IAM users bypass Okta policy</t>
        </is>
      </c>
      <c r="G3" s="11" t="inlineStr">
        <is>
          <t>High</t>
        </is>
      </c>
      <c r="H3" s="12" t="inlineStr">
        <is>
          <t>Delete exemption policy and group; enroll all members (hardware key accommodation); convert service users to integrations; require phishing-resistant MFA for admin apps; delete non-break-glass IAM users; add time-bound exception workflow</t>
        </is>
      </c>
      <c r="I3" s="12" t="inlineStr">
        <is>
          <t>M1 Enroll 9 human members in MFA (accommodation for 1) (due 2026-08-28; Done) | M2 Convert svc-vulnscan and svc-confroom to non-interactive integrations (due 2026-08-28; Done) | M3 Delete Legacy Exemption Policy and group; phishing-resistant policy on admin apps (CHG-2026-0731) (due 2026-09-01; Done) | M4 Assessor validation: policy export, group lookup, password-only sign-in attempt, IAM credential report (due 2026-09-05; Done)</t>
        </is>
      </c>
      <c r="J3" s="11" t="inlineStr">
        <is>
          <t>Nadia Rahman (IAM Engineer)</t>
        </is>
      </c>
      <c r="K3" s="12" t="inlineStr">
        <is>
          <t>IAM Engineer (about 30h); 12 FIDO2 keys (about $600)</t>
        </is>
      </c>
      <c r="L3" s="13" t="n">
        <v>46241</v>
      </c>
      <c r="M3" s="13">
        <f>L3+IF(G3="Critical",30,IF(G3="High",90,IF(G3="Moderate",180,365)))</f>
        <v/>
      </c>
      <c r="N3" s="13" t="n">
        <v>46270</v>
      </c>
      <c r="O3" s="13" t="n">
        <v>46270</v>
      </c>
      <c r="P3" s="12" t="inlineStr"/>
      <c r="Q3" s="11" t="inlineStr">
        <is>
          <t>Closed</t>
        </is>
      </c>
      <c r="R3" s="14">
        <f>IFERROR(COUNTIFS(Milestones!$A:$A,A3,Milestones!$E:$E,"Done")/COUNTIF(Milestones!$A:$A,A3),0)</f>
        <v/>
      </c>
      <c r="S3" s="11">
        <f>IF(Q3="Closed",AA3-L3,README!$B$4-L3)</f>
        <v/>
      </c>
      <c r="T3" s="11">
        <f>IF(AND(Q3&lt;&gt;"Closed",Q3&lt;&gt;"Risk Accepted",O3&lt;README!$B$4),"Yes","No")</f>
        <v/>
      </c>
      <c r="U3" s="11">
        <f>IF(O3&lt;&gt;N3,"Yes","No")</f>
        <v/>
      </c>
      <c r="V3" s="11">
        <f>IF(Q3="Risk Accepted","n/a (acceptance expiry)",IF(O3&lt;=M3,"Yes","No"))</f>
        <v/>
      </c>
      <c r="W3" s="12" t="inlineStr">
        <is>
          <t>Hardware key delivery for accessibility accommodation</t>
        </is>
      </c>
      <c r="X3" s="12" t="inlineStr">
        <is>
          <t>Inspection of Okta policy export and IAM credential report; re-performance of password-only sign-in with a test account (denied)</t>
        </is>
      </c>
      <c r="Y3" s="11" t="inlineStr">
        <is>
          <t>EVID-063; EVID-064</t>
        </is>
      </c>
      <c r="Z3" s="11" t="inlineStr">
        <is>
          <t>Lead assessor</t>
        </is>
      </c>
      <c r="AA3" s="13" t="n">
        <v>46270</v>
      </c>
      <c r="AB3" s="12" t="inlineStr">
        <is>
          <t>Moderate (RISK-003 residual L2 x I4 = 8)</t>
        </is>
      </c>
      <c r="AC3" s="12" t="inlineStr"/>
    </row>
    <row r="4">
      <c r="A4" s="11" t="inlineStr">
        <is>
          <t>POAM-003</t>
        </is>
      </c>
      <c r="B4" s="11" t="inlineStr">
        <is>
          <t>FIND-003</t>
        </is>
      </c>
      <c r="C4" s="11" t="inlineStr">
        <is>
          <t>AC-6(5); AC-6; AC-6(2)</t>
        </is>
      </c>
      <c r="D4" s="11" t="inlineStr">
        <is>
          <t>RISK-001</t>
        </is>
      </c>
      <c r="E4" s="12" t="inlineStr">
        <is>
          <t>Excessive privileged access; administration from daily-use accounts</t>
        </is>
      </c>
      <c r="F4" s="12" t="inlineStr">
        <is>
          <t>Privileged grants without expiry; no privileged-access review before 2026; separate-admin policy never rolled out</t>
        </is>
      </c>
      <c r="G4" s="11" t="inlineStr">
        <is>
          <t>High</t>
        </is>
      </c>
      <c r="H4" s="12" t="inlineStr">
        <is>
          <t>Remove excess grants; issue -adm accounts with phishing-resistant MFA; implement approval-gated JIT elevation for AWS admin; enforce GitHub owner cap</t>
        </is>
      </c>
      <c r="I4" s="12" t="inlineStr">
        <is>
          <t>M1 Remove excess grants: AR-EX-05/06/07/08/09 (due 2026-08-21; Done) | M2 Issue -adm accounts for remaining admins; remove admin from daily accounts (AR-EX-10) (due 2026-09-30; In Progress) | M3 Implement JIT elevation (approval + 4h auto-expiry) for AWS AdministratorAccess (due 2026-10-23; In Progress) | M4 Assessor validation: assignment export + live elevation record with CloudTrail evidence (due 2026-11-05; Not Started)</t>
        </is>
      </c>
      <c r="J4" s="11" t="inlineStr">
        <is>
          <t>Tomasz Wierzbicki (Director, Platform Engineering)</t>
        </is>
      </c>
      <c r="K4" s="12" t="inlineStr">
        <is>
          <t>SRE (about 80h); IAM Engineer (about 20h)</t>
        </is>
      </c>
      <c r="L4" s="13" t="n">
        <v>46241</v>
      </c>
      <c r="M4" s="13">
        <f>L4+IF(G4="Critical",30,IF(G4="High",90,IF(G4="Moderate",180,365)))</f>
        <v/>
      </c>
      <c r="N4" s="13" t="n">
        <v>46331</v>
      </c>
      <c r="O4" s="13" t="n">
        <v>46331</v>
      </c>
      <c r="P4" s="12" t="inlineStr"/>
      <c r="Q4" s="11" t="inlineStr">
        <is>
          <t>In Progress</t>
        </is>
      </c>
      <c r="R4" s="14">
        <f>IFERROR(COUNTIFS(Milestones!$A:$A,A4,Milestones!$E:$E,"Done")/COUNTIF(Milestones!$A:$A,A4),0)</f>
        <v/>
      </c>
      <c r="S4" s="11">
        <f>IF(Q4="Closed",AA4-L4,README!$B$4-L4)</f>
        <v/>
      </c>
      <c r="T4" s="11">
        <f>IF(AND(Q4&lt;&gt;"Closed",Q4&lt;&gt;"Risk Accepted",O4&lt;README!$B$4),"Yes","No")</f>
        <v/>
      </c>
      <c r="U4" s="11">
        <f>IF(O4&lt;&gt;N4,"Yes","No")</f>
        <v/>
      </c>
      <c r="V4" s="11">
        <f>IF(Q4="Risk Accepted","n/a (acceptance expiry)",IF(O4&lt;=M4,"Yes","No"))</f>
        <v/>
      </c>
      <c r="W4" s="12" t="inlineStr">
        <is>
          <t>IAM Identity Center permission-set redesign; EVID-071 returned as Rework Required (design-only evidence)</t>
        </is>
      </c>
      <c r="X4" s="12" t="inlineStr">
        <is>
          <t>Inspection of Identity Center/GitHub/Okta admin exports; re-performance: request and observe a JIT elevation, confirm auto-expiry in CloudTrail</t>
        </is>
      </c>
      <c r="Y4" s="11" t="inlineStr">
        <is>
          <t>EVID-075; EVID-076; EVID-077; EVID-071</t>
        </is>
      </c>
      <c r="Z4" s="11" t="inlineStr"/>
      <c r="AA4" s="13" t="n"/>
      <c r="AB4" s="12" t="inlineStr">
        <is>
          <t>Moderate target (RISK-001 residual L2 x I4 = 8); currently High</t>
        </is>
      </c>
      <c r="AC4" s="12" t="inlineStr">
        <is>
          <t>Evidence EVID-071 rejected: a screenshot of an approval screen shows the design, not that elevation operates.</t>
        </is>
      </c>
    </row>
    <row r="5">
      <c r="A5" s="11" t="inlineStr">
        <is>
          <t>POAM-004</t>
        </is>
      </c>
      <c r="B5" s="11" t="inlineStr">
        <is>
          <t>FIND-004</t>
        </is>
      </c>
      <c r="C5" s="11" t="inlineStr">
        <is>
          <t>AC-6(7); AC-2; PS-5</t>
        </is>
      </c>
      <c r="D5" s="11" t="inlineStr">
        <is>
          <t>RISK-004</t>
        </is>
      </c>
      <c r="E5" s="12" t="inlineStr">
        <is>
          <t>Access recertification incomplete in scope and ineffective in operation</t>
        </is>
      </c>
      <c r="F5" s="12" t="inlineStr">
        <is>
          <t>Campaign scope limited to Okta app assignments; no usage data or risk flags for reviewers; no transfer trigger</t>
        </is>
      </c>
      <c r="G5" s="11" t="inlineStr">
        <is>
          <t>Moderate</t>
        </is>
      </c>
      <c r="H5" s="12" t="inlineStr">
        <is>
          <t>Redesign certification to cover all privileged and PHI entitlements on 9 systems with usage and baseline flags; require rationale for approving flagged items; transfer-triggered re-certification</t>
        </is>
      </c>
      <c r="I5" s="12" t="inlineStr">
        <is>
          <t>M1 Revoke duplicate, transferred, and inactive access (AR-EX-12/13/14) (due 2026-07-17; Done) | M2 Add transfer trigger to SOP-IAM-02 (re-baseline access within 5 business days) (due 2026-08-28; Done) | M3 Run Q3 privileged certification on new design (EVID-074) (due 2026-09-30; In Progress) | M4 Assessor validation: review Q3 campaign decisions for flagged items and rationale quality (due 2026-10-31; Not Started)</t>
        </is>
      </c>
      <c r="J5" s="11" t="inlineStr">
        <is>
          <t>Alicia Moreno (CISO)</t>
        </is>
      </c>
      <c r="K5" s="12" t="inlineStr">
        <is>
          <t>GRC Manager (about 40h); IAM Engineer (about 30h); review_engine.py reused as the flagging logic</t>
        </is>
      </c>
      <c r="L5" s="13" t="n">
        <v>46241</v>
      </c>
      <c r="M5" s="13">
        <f>L5+IF(G5="Critical",30,IF(G5="High",90,IF(G5="Moderate",180,365)))</f>
        <v/>
      </c>
      <c r="N5" s="13" t="n">
        <v>46326</v>
      </c>
      <c r="O5" s="13" t="n">
        <v>46326</v>
      </c>
      <c r="P5" s="12" t="inlineStr"/>
      <c r="Q5" s="11" t="inlineStr">
        <is>
          <t>In Progress</t>
        </is>
      </c>
      <c r="R5" s="14">
        <f>IFERROR(COUNTIFS(Milestones!$A:$A,A5,Milestones!$E:$E,"Done")/COUNTIF(Milestones!$A:$A,A5),0)</f>
        <v/>
      </c>
      <c r="S5" s="11">
        <f>IF(Q5="Closed",AA5-L5,README!$B$4-L5)</f>
        <v/>
      </c>
      <c r="T5" s="11">
        <f>IF(AND(Q5&lt;&gt;"Closed",Q5&lt;&gt;"Risk Accepted",O5&lt;README!$B$4),"Yes","No")</f>
        <v/>
      </c>
      <c r="U5" s="11">
        <f>IF(O5&lt;&gt;N5,"Yes","No")</f>
        <v/>
      </c>
      <c r="V5" s="11">
        <f>IF(Q5="Risk Accepted","n/a (acceptance expiry)",IF(O5&lt;=M5,"Yes","No"))</f>
        <v/>
      </c>
      <c r="W5" s="12" t="inlineStr">
        <is>
          <t>Q3 campaign completion by reviewers</t>
        </is>
      </c>
      <c r="X5" s="12" t="inlineStr">
        <is>
          <t>Inspection of campaign export (population completeness vs entitlement exports; % flagged items with rationale; removals actioned)</t>
        </is>
      </c>
      <c r="Y5" s="11" t="inlineStr">
        <is>
          <t>EVID-061; EVID-074</t>
        </is>
      </c>
      <c r="Z5" s="11" t="inlineStr"/>
      <c r="AA5" s="13" t="n"/>
      <c r="AB5" s="12" t="inlineStr">
        <is>
          <t>Moderate (RISK-004 residual L2 x I3 = 6)</t>
        </is>
      </c>
      <c r="AC5" s="12" t="inlineStr"/>
    </row>
    <row r="6">
      <c r="A6" s="11" t="inlineStr">
        <is>
          <t>POAM-005</t>
        </is>
      </c>
      <c r="B6" s="11" t="inlineStr">
        <is>
          <t>FIND-005</t>
        </is>
      </c>
      <c r="C6" s="11" t="inlineStr">
        <is>
          <t>IA-5; AC-2</t>
        </is>
      </c>
      <c r="D6" s="11" t="inlineStr">
        <is>
          <t>RISK-017</t>
        </is>
      </c>
      <c r="E6" s="12" t="inlineStr">
        <is>
          <t>Service/shared accounts without owners, stale credentials, shared vendor login</t>
        </is>
      </c>
      <c r="F6" s="12" t="inlineStr">
        <is>
          <t>Service register lacked owner/rotation fields; vendor access set up for convenience</t>
        </is>
      </c>
      <c r="G6" s="11" t="inlineStr">
        <is>
          <t>Moderate</t>
        </is>
      </c>
      <c r="H6" s="12" t="inlineStr">
        <is>
          <t>Assign owners; rotate or federate stale credentials; named federated accounts for MDR analysts; add owner/rotation fields and quarterly attestation to the register</t>
        </is>
      </c>
      <c r="I6" s="12" t="inlineStr">
        <is>
          <t>M1 Assign owners to all 13 non-human accounts; add fields to register (due 2026-08-21; Done) | M2 Rotate svc-quarrystone-sftp key (AR-EX-18) (due 2026-08-28; Done) | M3 Replace ironpeak-soc shared login with 6 named federated accounts (AR-EX-20) (due 2026-09-04; Done) | M4 Migrate svc-reporting-etl to IAM role; delete IAM user (AR-EX-19) (due 2026-09-11; Done) | M5 Assessor validation: register re-test (owner + credential age) and IAM credential report (due 2026-09-12; Done)</t>
        </is>
      </c>
      <c r="J6" s="11" t="inlineStr">
        <is>
          <t>Nadia Rahman (IAM Engineer)</t>
        </is>
      </c>
      <c r="K6" s="12" t="inlineStr">
        <is>
          <t>IAM Engineer (about 20h); SRE (about 16h)</t>
        </is>
      </c>
      <c r="L6" s="13" t="n">
        <v>46241</v>
      </c>
      <c r="M6" s="13">
        <f>L6+IF(G6="Critical",30,IF(G6="High",90,IF(G6="Moderate",180,365)))</f>
        <v/>
      </c>
      <c r="N6" s="13" t="n">
        <v>46277</v>
      </c>
      <c r="O6" s="13" t="n">
        <v>46277</v>
      </c>
      <c r="P6" s="12" t="inlineStr"/>
      <c r="Q6" s="11" t="inlineStr">
        <is>
          <t>Closed</t>
        </is>
      </c>
      <c r="R6" s="14">
        <f>IFERROR(COUNTIFS(Milestones!$A:$A,A6,Milestones!$E:$E,"Done")/COUNTIF(Milestones!$A:$A,A6),0)</f>
        <v/>
      </c>
      <c r="S6" s="11">
        <f>IF(Q6="Closed",AA6-L6,README!$B$4-L6)</f>
        <v/>
      </c>
      <c r="T6" s="11">
        <f>IF(AND(Q6&lt;&gt;"Closed",Q6&lt;&gt;"Risk Accepted",O6&lt;README!$B$4),"Yes","No")</f>
        <v/>
      </c>
      <c r="U6" s="11">
        <f>IF(O6&lt;&gt;N6,"Yes","No")</f>
        <v/>
      </c>
      <c r="V6" s="11">
        <f>IF(Q6="Risk Accepted","n/a (acceptance expiry)",IF(O6&lt;=M6,"Yes","No"))</f>
        <v/>
      </c>
      <c r="W6" s="12" t="inlineStr">
        <is>
          <t>Ironpeak MDR SSO onboarding</t>
        </is>
      </c>
      <c r="X6" s="12" t="inlineStr">
        <is>
          <t>Re-performance of the review engine's service-account checks on the updated register; inspection of EDR console user list (no shared logins)</t>
        </is>
      </c>
      <c r="Y6" s="11" t="inlineStr">
        <is>
          <t>EVID-065; EVID-064</t>
        </is>
      </c>
      <c r="Z6" s="11" t="inlineStr">
        <is>
          <t>Lead assessor</t>
        </is>
      </c>
      <c r="AA6" s="13" t="n">
        <v>46277</v>
      </c>
      <c r="AB6" s="12" t="inlineStr">
        <is>
          <t>Low (RISK-017 residual L1 x I4 = 4)</t>
        </is>
      </c>
      <c r="AC6" s="12" t="inlineStr"/>
    </row>
    <row r="7">
      <c r="A7" s="11" t="inlineStr">
        <is>
          <t>POAM-006</t>
        </is>
      </c>
      <c r="B7" s="11" t="inlineStr">
        <is>
          <t>FIND-006</t>
        </is>
      </c>
      <c r="C7" s="11" t="inlineStr">
        <is>
          <t>PS-7; AC-2</t>
        </is>
      </c>
      <c r="D7" s="11" t="inlineStr">
        <is>
          <t>RISK-002; RISK-004</t>
        </is>
      </c>
      <c r="E7" s="12" t="inlineStr">
        <is>
          <t>Contractor access not bound to engagement term and scope</t>
        </is>
      </c>
      <c r="F7" s="12" t="inlineStr">
        <is>
          <t>Contract end dates not enforced in Okta; access requests not checked against SOW scope</t>
        </is>
      </c>
      <c r="G7" s="11" t="inlineStr">
        <is>
          <t>Moderate</t>
        </is>
      </c>
      <c r="H7" s="12" t="inlineStr">
        <is>
          <t>Okta account expiry = SOW end date for all contractors; SOW scope required on contractor access requests; monthly contractor roster to sponsors</t>
        </is>
      </c>
      <c r="I7" s="12" t="inlineStr">
        <is>
          <t>M1 Execute SOW amendment for awu; revoke out-of-scope PHI access (AR-EX-15/16) (due 2026-07-24; Done) | M2 Set Okta expiry for all contractor accounts; add SOW-scope field to access request form (due 2026-08-28; Done) | M3 Assessor validation: expiry report vs SOW register (due 2026-09-10; Done)</t>
        </is>
      </c>
      <c r="J7" s="11" t="inlineStr">
        <is>
          <t>Sofia Ricci (Engineering Manager)</t>
        </is>
      </c>
      <c r="K7" s="12" t="inlineStr">
        <is>
          <t>IAM Engineer (about 8h); Vendor Mgmt (about 4h)</t>
        </is>
      </c>
      <c r="L7" s="13" t="n">
        <v>46241</v>
      </c>
      <c r="M7" s="13">
        <f>L7+IF(G7="Critical",30,IF(G7="High",90,IF(G7="Moderate",180,365)))</f>
        <v/>
      </c>
      <c r="N7" s="13" t="n">
        <v>46275</v>
      </c>
      <c r="O7" s="13" t="n">
        <v>46275</v>
      </c>
      <c r="P7" s="12" t="inlineStr"/>
      <c r="Q7" s="11" t="inlineStr">
        <is>
          <t>Closed</t>
        </is>
      </c>
      <c r="R7" s="14">
        <f>IFERROR(COUNTIFS(Milestones!$A:$A,A7,Milestones!$E:$E,"Done")/COUNTIF(Milestones!$A:$A,A7),0)</f>
        <v/>
      </c>
      <c r="S7" s="11">
        <f>IF(Q7="Closed",AA7-L7,README!$B$4-L7)</f>
        <v/>
      </c>
      <c r="T7" s="11">
        <f>IF(AND(Q7&lt;&gt;"Closed",Q7&lt;&gt;"Risk Accepted",O7&lt;README!$B$4),"Yes","No")</f>
        <v/>
      </c>
      <c r="U7" s="11">
        <f>IF(O7&lt;&gt;N7,"Yes","No")</f>
        <v/>
      </c>
      <c r="V7" s="11">
        <f>IF(Q7="Risk Accepted","n/a (acceptance expiry)",IF(O7&lt;=M7,"Yes","No"))</f>
        <v/>
      </c>
      <c r="W7" s="12" t="inlineStr"/>
      <c r="X7" s="12" t="inlineStr">
        <is>
          <t>Inspection: Okta expiry dates reconciled to SOW register for all active contractors (29 of 29)</t>
        </is>
      </c>
      <c r="Y7" s="11" t="inlineStr">
        <is>
          <t>EVID-066</t>
        </is>
      </c>
      <c r="Z7" s="11" t="inlineStr">
        <is>
          <t>Lead assessor</t>
        </is>
      </c>
      <c r="AA7" s="13" t="n">
        <v>46275</v>
      </c>
      <c r="AB7" s="12" t="inlineStr">
        <is>
          <t>Moderate (RISK-002 residual)</t>
        </is>
      </c>
      <c r="AC7" s="12" t="inlineStr"/>
    </row>
    <row r="8">
      <c r="A8" s="11" t="inlineStr">
        <is>
          <t>POAM-007</t>
        </is>
      </c>
      <c r="B8" s="11" t="inlineStr">
        <is>
          <t>FIND-007</t>
        </is>
      </c>
      <c r="C8" s="11" t="inlineStr">
        <is>
          <t>AC-5</t>
        </is>
      </c>
      <c r="D8" s="11" t="inlineStr">
        <is>
          <t>RISK-013</t>
        </is>
      </c>
      <c r="E8" s="12" t="inlineStr">
        <is>
          <t>SoD conflict (vendor master + payment approval)</t>
        </is>
      </c>
      <c r="F8" s="12" t="inlineStr">
        <is>
          <t>Finance team reduced to 3 after AP departure</t>
        </is>
      </c>
      <c r="G8" s="11" t="inlineStr">
        <is>
          <t>Moderate</t>
        </is>
      </c>
      <c r="H8" s="12" t="inlineStr">
        <is>
          <t>Formal risk acceptance (RACC-001) with compensating monthly independent review; split roles when AP role is backfilled</t>
        </is>
      </c>
      <c r="I8" s="12" t="inlineStr">
        <is>
          <t>M1 Sign RACC-001 (CFO as risk owner; CISO concurrence) (due 2026-08-14; Done) | M2 Continue monthly compensating review (evidence each month to GRC) (due 2027-03-31; In Progress) | M3 Split roles at AP backfill (requisition open) (due 2027-03-31; Not Started)</t>
        </is>
      </c>
      <c r="J8" s="11" t="inlineStr">
        <is>
          <t>Laura Brenneman (Controller)</t>
        </is>
      </c>
      <c r="K8" s="12" t="inlineStr">
        <is>
          <t>Controller (2h/month for compensating review)</t>
        </is>
      </c>
      <c r="L8" s="13" t="n">
        <v>46241</v>
      </c>
      <c r="M8" s="13">
        <f>L8+IF(G8="Critical",30,IF(G8="High",90,IF(G8="Moderate",180,365)))</f>
        <v/>
      </c>
      <c r="N8" s="13" t="n">
        <v>46477</v>
      </c>
      <c r="O8" s="13" t="n">
        <v>46477</v>
      </c>
      <c r="P8" s="12" t="inlineStr"/>
      <c r="Q8" s="11" t="inlineStr">
        <is>
          <t>Risk Accepted</t>
        </is>
      </c>
      <c r="R8" s="14">
        <f>IFERROR(COUNTIFS(Milestones!$A:$A,A8,Milestones!$E:$E,"Done")/COUNTIF(Milestones!$A:$A,A8),0)</f>
        <v/>
      </c>
      <c r="S8" s="11">
        <f>IF(Q8="Closed",AA8-L8,README!$B$4-L8)</f>
        <v/>
      </c>
      <c r="T8" s="11">
        <f>IF(AND(Q8&lt;&gt;"Closed",Q8&lt;&gt;"Risk Accepted",O8&lt;README!$B$4),"Yes","No")</f>
        <v/>
      </c>
      <c r="U8" s="11">
        <f>IF(O8&lt;&gt;N8,"Yes","No")</f>
        <v/>
      </c>
      <c r="V8" s="11">
        <f>IF(Q8="Risk Accepted","n/a (acceptance expiry)",IF(O8&lt;=M8,"Yes","No"))</f>
        <v/>
      </c>
      <c r="W8" s="12" t="inlineStr">
        <is>
          <t>AP Specialist hire</t>
        </is>
      </c>
      <c r="X8" s="12" t="inlineStr">
        <is>
          <t>Monthly: GRC inspects signed vendor-master change report; at expiry: re-test role assignments</t>
        </is>
      </c>
      <c r="Y8" s="11" t="inlineStr">
        <is>
          <t>EVID-060; EVID-015</t>
        </is>
      </c>
      <c r="Z8" s="11" t="inlineStr"/>
      <c r="AA8" s="13" t="n"/>
      <c r="AB8" s="12" t="inlineStr">
        <is>
          <t>Moderate, accepted (RISK-013 residual L2 x I3 = 6)</t>
        </is>
      </c>
      <c r="AC8" s="12" t="inlineStr">
        <is>
          <t>Accepted risks stay on the POA&amp;M until expiry so they are re-decided, not forgotten.</t>
        </is>
      </c>
    </row>
    <row r="9">
      <c r="A9" s="11" t="inlineStr">
        <is>
          <t>POAM-008</t>
        </is>
      </c>
      <c r="B9" s="11" t="inlineStr">
        <is>
          <t>FIND-008</t>
        </is>
      </c>
      <c r="C9" s="11" t="inlineStr">
        <is>
          <t>AU-11</t>
        </is>
      </c>
      <c r="D9" s="11" t="inlineStr">
        <is>
          <t>RISK-005</t>
        </is>
      </c>
      <c r="E9" s="12" t="inlineStr">
        <is>
          <t>Audit log retention below 12-month requirement</t>
        </is>
      </c>
      <c r="F9" s="12" t="inlineStr">
        <is>
          <t>2022 cost-driven retention settings never revisited after contractual requirements emerged</t>
        </is>
      </c>
      <c r="G9" s="11" t="inlineStr">
        <is>
          <t>Moderate</t>
        </is>
      </c>
      <c r="H9" s="12" t="inlineStr">
        <is>
          <t>400-day lifecycle with tiering (hot 90d searchable); archive application audit logs to log-archive; quarterly oldest-record check</t>
        </is>
      </c>
      <c r="I9" s="12" t="inlineStr">
        <is>
          <t>M1 Change S3 lifecycle to 400-day expiry with Glacier IR after 90d (CHG-2026-0702) (due 2026-08-21; Done) | M2 Subscribe app-audit CloudWatch logs to log-archive (Firehose) (due 2026-08-28; Done) | M3 Assessor validation: config inspection + oldest-object query (due 2026-09-15; Done)</t>
        </is>
      </c>
      <c r="J9" s="11" t="inlineStr">
        <is>
          <t>Owen Castillo (Security Engineer)</t>
        </is>
      </c>
      <c r="K9" s="12" t="inlineStr">
        <is>
          <t>Security Engineer (about 16h); storage cost about $180/month</t>
        </is>
      </c>
      <c r="L9" s="13" t="n">
        <v>46241</v>
      </c>
      <c r="M9" s="13">
        <f>L9+IF(G9="Critical",30,IF(G9="High",90,IF(G9="Moderate",180,365)))</f>
        <v/>
      </c>
      <c r="N9" s="13" t="n">
        <v>46280</v>
      </c>
      <c r="O9" s="13" t="n">
        <v>46280</v>
      </c>
      <c r="P9" s="12" t="inlineStr"/>
      <c r="Q9" s="11" t="inlineStr">
        <is>
          <t>Closed</t>
        </is>
      </c>
      <c r="R9" s="14">
        <f>IFERROR(COUNTIFS(Milestones!$A:$A,A9,Milestones!$E:$E,"Done")/COUNTIF(Milestones!$A:$A,A9),0)</f>
        <v/>
      </c>
      <c r="S9" s="11">
        <f>IF(Q9="Closed",AA9-L9,README!$B$4-L9)</f>
        <v/>
      </c>
      <c r="T9" s="11">
        <f>IF(AND(Q9&lt;&gt;"Closed",Q9&lt;&gt;"Risk Accepted",O9&lt;README!$B$4),"Yes","No")</f>
        <v/>
      </c>
      <c r="U9" s="11">
        <f>IF(O9&lt;&gt;N9,"Yes","No")</f>
        <v/>
      </c>
      <c r="V9" s="11">
        <f>IF(Q9="Risk Accepted","n/a (acceptance expiry)",IF(O9&lt;=M9,"Yes","No"))</f>
        <v/>
      </c>
      <c r="W9" s="12" t="inlineStr"/>
      <c r="X9" s="12" t="inlineStr">
        <is>
          <t>Inspection of lifecycle/subscription config; test: oldest CloudTrail object (2026-03-20, 182 days) still present after old 180-day rule would have expired it</t>
        </is>
      </c>
      <c r="Y9" s="11" t="inlineStr">
        <is>
          <t>EVID-067</t>
        </is>
      </c>
      <c r="Z9" s="11" t="inlineStr">
        <is>
          <t>Lead assessor</t>
        </is>
      </c>
      <c r="AA9" s="13" t="n">
        <v>46280</v>
      </c>
      <c r="AB9" s="12" t="inlineStr">
        <is>
          <t>Moderate (RISK-005 residual after POAM-009)</t>
        </is>
      </c>
      <c r="AC9" s="12" t="inlineStr">
        <is>
          <t>Full 12-month retention can only be demonstrated over time; FY27 assessment re-tests.</t>
        </is>
      </c>
    </row>
    <row r="10">
      <c r="A10" s="11" t="inlineStr">
        <is>
          <t>POAM-009</t>
        </is>
      </c>
      <c r="B10" s="11" t="inlineStr">
        <is>
          <t>FIND-009</t>
        </is>
      </c>
      <c r="C10" s="11" t="inlineStr">
        <is>
          <t>AU-6</t>
        </is>
      </c>
      <c r="D10" s="11" t="inlineStr">
        <is>
          <t>RISK-005</t>
        </is>
      </c>
      <c r="E10" s="12" t="inlineStr">
        <is>
          <t>Weekly privileged-activity review missed 7 of 26 weeks; 2 incomplete</t>
        </is>
      </c>
      <c r="F10" s="12" t="inlineStr">
        <is>
          <t>Single reviewer; no escalation; scope excluded local IAM users</t>
        </is>
      </c>
      <c r="G10" s="11" t="inlineStr">
        <is>
          <t>Moderate</t>
        </is>
      </c>
      <c r="H10" s="12" t="inlineStr">
        <is>
          <t>Backup reviewer (MDR under SOW change); auto-created weekly ticket with 5-day escalation; expand scope to all privileged principals; disposition required per flag</t>
        </is>
      </c>
      <c r="I10" s="12" t="inlineStr">
        <is>
          <t>M1 Expand SIEM report scope to all privileged principals incl. IAM users (due 2026-08-21; Done) | M2 Auto-create weekly review ticket with escalation to CISO at 5 business days (due 2026-08-28; Done) | M3 Execute MDR SOW change for backup reviewer (due 2026-09-11; Delayed) | M4 Assessor validation: W27–W37 reviews (EVID-072) (due 2026-09-15; Not Started)</t>
        </is>
      </c>
      <c r="J10" s="11" t="inlineStr">
        <is>
          <t>Owen Castillo (Security Engineer)</t>
        </is>
      </c>
      <c r="K10" s="12" t="inlineStr">
        <is>
          <t>MDR SOW change (about $1,500/month); Security Engineer (about 12h)</t>
        </is>
      </c>
      <c r="L10" s="13" t="n">
        <v>46241</v>
      </c>
      <c r="M10" s="13">
        <f>L10+IF(G10="Critical",30,IF(G10="High",90,IF(G10="Moderate",180,365)))</f>
        <v/>
      </c>
      <c r="N10" s="13" t="n">
        <v>46280</v>
      </c>
      <c r="O10" s="13" t="n">
        <v>46280</v>
      </c>
      <c r="P10" s="12" t="inlineStr"/>
      <c r="Q10" s="11" t="inlineStr">
        <is>
          <t>In Progress</t>
        </is>
      </c>
      <c r="R10" s="14">
        <f>IFERROR(COUNTIFS(Milestones!$A:$A,A10,Milestones!$E:$E,"Done")/COUNTIF(Milestones!$A:$A,A10),0)</f>
        <v/>
      </c>
      <c r="S10" s="11">
        <f>IF(Q10="Closed",AA10-L10,README!$B$4-L10)</f>
        <v/>
      </c>
      <c r="T10" s="11">
        <f>IF(AND(Q10&lt;&gt;"Closed",Q10&lt;&gt;"Risk Accepted",O10&lt;README!$B$4),"Yes","No")</f>
        <v/>
      </c>
      <c r="U10" s="11">
        <f>IF(O10&lt;&gt;N10,"Yes","No")</f>
        <v/>
      </c>
      <c r="V10" s="11">
        <f>IF(Q10="Risk Accepted","n/a (acceptance expiry)",IF(O10&lt;=M10,"Yes","No"))</f>
        <v/>
      </c>
      <c r="W10" s="12" t="inlineStr">
        <is>
          <t>Procurement approval of MDR SOW change (pending CFO signature)</t>
        </is>
      </c>
      <c r="X10" s="12" t="inlineStr">
        <is>
          <t>Test: all weeks since change performed within 5 days with dispositions; inspect escalation config</t>
        </is>
      </c>
      <c r="Y10" s="11" t="inlineStr">
        <is>
          <t>EVID-072</t>
        </is>
      </c>
      <c r="Z10" s="11" t="inlineStr"/>
      <c r="AA10" s="13" t="n"/>
      <c r="AB10" s="12" t="inlineStr">
        <is>
          <t>Moderate (RISK-005 residual L2 x I3 = 6)</t>
        </is>
      </c>
      <c r="AC10" s="12" t="inlineStr">
        <is>
          <t>Overdue since 2026-09-15; escalated to CISO 2026-09-16.</t>
        </is>
      </c>
    </row>
    <row r="11">
      <c r="A11" s="11" t="inlineStr">
        <is>
          <t>POAM-010</t>
        </is>
      </c>
      <c r="B11" s="11" t="inlineStr">
        <is>
          <t>FIND-010</t>
        </is>
      </c>
      <c r="C11" s="11" t="inlineStr">
        <is>
          <t>SI-2</t>
        </is>
      </c>
      <c r="D11" s="11" t="inlineStr">
        <is>
          <t>RISK-006</t>
        </is>
      </c>
      <c r="E11" s="12" t="inlineStr">
        <is>
          <t>23% of Critical/High vulnerabilities exceeded SLA; exception process unused</t>
        </is>
      </c>
      <c r="F11" s="12" t="inlineStr">
        <is>
          <t>End-of-life runtimes block patching; no exception discipline; SLA not visible in engineering planning; 7% untagged assets</t>
        </is>
      </c>
      <c r="G11" s="11" t="inlineStr">
        <is>
          <t>High</t>
        </is>
      </c>
      <c r="H11" s="12" t="inlineStr">
        <is>
          <t>Upgrade notify-worker runtime; file exceptions with reachability analysis where justified; SLA dashboard in sprint planning; tag-policy SCP</t>
        </is>
      </c>
      <c r="I11" s="12" t="inlineStr">
        <is>
          <t>M1 Submit VM-003 §7 exception for 2 notify-worker criticals with reachability analysis (CISO decision) (due 2026-08-21; Done) | M2 Upgrade notify-worker to supported Node.js LTS + current base image (due 2026-09-30; In Progress) | M3 SLA-breach dashboard reviewed in weekly engineering leads meeting (due 2026-09-15; Done) | M4 Tag-policy SCP denying untagged EC2/EKS launches (OBS-02) (due 2026-10-15; Not Started) | M5 Assessor validation: re-run SLA test on Q3 population (due 2026-11-05; Not Started)</t>
        </is>
      </c>
      <c r="J11" s="11" t="inlineStr">
        <is>
          <t>Grace Lindqvist (VP Engineering)</t>
        </is>
      </c>
      <c r="K11" s="12" t="inlineStr">
        <is>
          <t>Engineering (about 3 sprint-weeks); Security Engineer (about 16h)</t>
        </is>
      </c>
      <c r="L11" s="13" t="n">
        <v>46241</v>
      </c>
      <c r="M11" s="13">
        <f>L11+IF(G11="Critical",30,IF(G11="High",90,IF(G11="Moderate",180,365)))</f>
        <v/>
      </c>
      <c r="N11" s="13" t="n">
        <v>46331</v>
      </c>
      <c r="O11" s="13" t="n">
        <v>46331</v>
      </c>
      <c r="P11" s="12" t="inlineStr"/>
      <c r="Q11" s="11" t="inlineStr">
        <is>
          <t>In Progress</t>
        </is>
      </c>
      <c r="R11" s="14">
        <f>IFERROR(COUNTIFS(Milestones!$A:$A,A11,Milestones!$E:$E,"Done")/COUNTIF(Milestones!$A:$A,A11),0)</f>
        <v/>
      </c>
      <c r="S11" s="11">
        <f>IF(Q11="Closed",AA11-L11,README!$B$4-L11)</f>
        <v/>
      </c>
      <c r="T11" s="11">
        <f>IF(AND(Q11&lt;&gt;"Closed",Q11&lt;&gt;"Risk Accepted",O11&lt;README!$B$4),"Yes","No")</f>
        <v/>
      </c>
      <c r="U11" s="11">
        <f>IF(O11&lt;&gt;N11,"Yes","No")</f>
        <v/>
      </c>
      <c r="V11" s="11">
        <f>IF(Q11="Risk Accepted","n/a (acceptance expiry)",IF(O11&lt;=M11,"Yes","No"))</f>
        <v/>
      </c>
      <c r="W11" s="12" t="inlineStr">
        <is>
          <t>FIND-011 (4 open breaches resolve only when legacy hosts are decommissioned)</t>
        </is>
      </c>
      <c r="X11" s="12" t="inlineStr">
        <is>
          <t>Re-performance: tools/assessment_tests.py vulnsla on Q3 export (target: &gt;= 95% within SLA, 0 open Critical past SLA without exception)</t>
        </is>
      </c>
      <c r="Y11" s="11" t="inlineStr"/>
      <c r="Z11" s="11" t="inlineStr"/>
      <c r="AA11" s="13" t="n"/>
      <c r="AB11" s="12" t="inlineStr">
        <is>
          <t>Moderate (RISK-006 residual L2 x I4 = 8)</t>
        </is>
      </c>
      <c r="AC11" s="12" t="inlineStr">
        <is>
          <t>CISO approved a 30-day exception for the 2 criticals (expires 2026-09-30) contingent on M2; consider SI-2(7) root cause analysis (OBS-04).</t>
        </is>
      </c>
    </row>
    <row r="12">
      <c r="A12" s="11" t="inlineStr">
        <is>
          <t>POAM-011</t>
        </is>
      </c>
      <c r="B12" s="11" t="inlineStr">
        <is>
          <t>FIND-011</t>
        </is>
      </c>
      <c r="C12" s="11" t="inlineStr">
        <is>
          <t>SA-22</t>
        </is>
      </c>
      <c r="D12" s="11" t="inlineStr">
        <is>
          <t>RISK-007</t>
        </is>
      </c>
      <c r="E12" s="12" t="inlineStr">
        <is>
          <t>Unsupported components (Windows 2012 R2 SFTP host, PostgreSQL 11, Node.js 16) in PHI path</t>
        </is>
      </c>
      <c r="F12" s="12" t="inlineStr">
        <is>
          <t>Legacy integrations excluded from modernization; no lifecycle review for non-IaC assets</t>
        </is>
      </c>
      <c r="G12" s="11" t="inlineStr">
        <is>
          <t>High</t>
        </is>
      </c>
      <c r="H12" s="12" t="inlineStr">
        <is>
          <t>Avoid: replace wf-sftp-01 with managed transfer (IaC, PGP + SFTP, vendor/customer keys); migrate legacy-reports to supported Aurora replica; upgrade notify-worker (with POAM-010); maintain compensating controls until then</t>
        </is>
      </c>
      <c r="I12" s="12" t="inlineStr">
        <is>
          <t>M1 Stand up managed transfer service (IaC) and test with Quarrystone (due 2026-08-28; Done) | M2 Cut over Quarrystone + 4 customers; decommission wf-sftp-01 (due 2026-09-15; Delayed) | M3 Migrate legacy-reports to Aurora read replica; decommission EC2 host (due 2026-10-30; In Progress) | M4 Assessor validation: inventory shows 0 unsupported components; hosts terminated (due 2026-12-15; Not Started)</t>
        </is>
      </c>
      <c r="J12" s="11" t="inlineStr">
        <is>
          <t>Tomasz Wierzbicki (Director, Platform Engineering)</t>
        </is>
      </c>
      <c r="K12" s="12" t="inlineStr">
        <is>
          <t>SRE (about 120h); Customer Ops coordination with 4 customers + Quarrystone; managed transfer service about $400/month</t>
        </is>
      </c>
      <c r="L12" s="13" t="n">
        <v>46241</v>
      </c>
      <c r="M12" s="13">
        <f>L12+IF(G12="Critical",30,IF(G12="High",90,IF(G12="Moderate",180,365)))</f>
        <v/>
      </c>
      <c r="N12" s="13" t="n">
        <v>46331</v>
      </c>
      <c r="O12" s="13" t="n">
        <v>46371</v>
      </c>
      <c r="P12" s="12" t="inlineStr">
        <is>
          <t>M2 slipped: 2 of 4 customers have not completed partner key exchange. SLA extension approved by CTO and CISO 2026-09-12 with compensating controls (EDR, allowlist, SSM-only admin, weekly scans); still ahead of SHCA go-live 2027-01-11.</t>
        </is>
      </c>
      <c r="Q12" s="11" t="inlineStr">
        <is>
          <t>Delayed</t>
        </is>
      </c>
      <c r="R12" s="14">
        <f>IFERROR(COUNTIFS(Milestones!$A:$A,A12,Milestones!$E:$E,"Done")/COUNTIF(Milestones!$A:$A,A12),0)</f>
        <v/>
      </c>
      <c r="S12" s="11">
        <f>IF(Q12="Closed",AA12-L12,README!$B$4-L12)</f>
        <v/>
      </c>
      <c r="T12" s="11">
        <f>IF(AND(Q12&lt;&gt;"Closed",Q12&lt;&gt;"Risk Accepted",O12&lt;README!$B$4),"Yes","No")</f>
        <v/>
      </c>
      <c r="U12" s="11">
        <f>IF(O12&lt;&gt;N12,"Yes","No")</f>
        <v/>
      </c>
      <c r="V12" s="11">
        <f>IF(Q12="Risk Accepted","n/a (acceptance expiry)",IF(O12&lt;=M12,"Yes","No"))</f>
        <v/>
      </c>
      <c r="W12" s="12" t="inlineStr">
        <is>
          <t>Customer partner-side key exchange (2 of 4 pending); POAM-010 M2 for notify-worker</t>
        </is>
      </c>
      <c r="X12" s="12" t="inlineStr">
        <is>
          <t>Inspection of EOL inventory and AWS Config (instances terminated); re-run vulnsla to confirm legacy-host findings closed</t>
        </is>
      </c>
      <c r="Y12" s="11" t="inlineStr"/>
      <c r="Z12" s="11" t="inlineStr"/>
      <c r="AA12" s="13" t="n"/>
      <c r="AB12" s="12" t="inlineStr">
        <is>
          <t>Low target (RISK-007 residual L1 x I4 = 4); currently High</t>
        </is>
      </c>
      <c r="AC12" s="12" t="inlineStr">
        <is>
          <t>Treatment is Avoid (decommission) rather than patching, which is not possible.</t>
        </is>
      </c>
    </row>
    <row r="13">
      <c r="A13" s="11" t="inlineStr">
        <is>
          <t>POAM-012</t>
        </is>
      </c>
      <c r="B13" s="11" t="inlineStr">
        <is>
          <t>FIND-012</t>
        </is>
      </c>
      <c r="C13" s="11" t="inlineStr">
        <is>
          <t>SC-7; CM-6</t>
        </is>
      </c>
      <c r="D13" s="11" t="inlineStr">
        <is>
          <t>RISK-012; RISK-007</t>
        </is>
      </c>
      <c r="E13" s="12" t="inlineStr">
        <is>
          <t>RDP open to 0.0.0.0/0 on wf-sftp-01; CSPM High finding untriaged 43 days</t>
        </is>
      </c>
      <c r="F13" s="12" t="inlineStr">
        <is>
          <t>Console change path bypasses IaC/approval; Security Hub findings not routed to on-call</t>
        </is>
      </c>
      <c r="G13" s="11" t="inlineStr">
        <is>
          <t>High</t>
        </is>
      </c>
      <c r="H13" s="12" t="inlineStr">
        <is>
          <t>Remove rule; route Security Hub High findings to on-call with 7-day SLA; SCP guardrail blocking 0.0.0.0/0 on admin ports</t>
        </is>
      </c>
      <c r="I13" s="12" t="inlineStr">
        <is>
          <t>M1 Remove 3389 ingress rule; confirm SSM-only admin (CHG-2026-0521); review Windows 4624 type-10 logons (due 2026-07-03; Done) | M2 Route Security Hub High findings to SRE on-call queue (due 2026-07-08; Done) | M3 Deploy SCP guardrail for admin ports from 0.0.0.0/0 (due 2026-07-10; Done) | M4 Assessor validation: SG export, Security Hub PASSED, guardrail test (due 2026-07-10; Done)</t>
        </is>
      </c>
      <c r="J13" s="11" t="inlineStr">
        <is>
          <t>Tomasz Wierzbicki (Director, Platform Engineering)</t>
        </is>
      </c>
      <c r="K13" s="12" t="inlineStr">
        <is>
          <t>SRE (about 12h)</t>
        </is>
      </c>
      <c r="L13" s="13" t="n">
        <v>46205</v>
      </c>
      <c r="M13" s="13">
        <f>L13+IF(G13="Critical",30,IF(G13="High",90,IF(G13="Moderate",180,365)))</f>
        <v/>
      </c>
      <c r="N13" s="13" t="n">
        <v>46213</v>
      </c>
      <c r="O13" s="13" t="n">
        <v>46213</v>
      </c>
      <c r="P13" s="12" t="inlineStr"/>
      <c r="Q13" s="11" t="inlineStr">
        <is>
          <t>Closed</t>
        </is>
      </c>
      <c r="R13" s="14">
        <f>IFERROR(COUNTIFS(Milestones!$A:$A,A13,Milestones!$E:$E,"Done")/COUNTIF(Milestones!$A:$A,A13),0)</f>
        <v/>
      </c>
      <c r="S13" s="11">
        <f>IF(Q13="Closed",AA13-L13,README!$B$4-L13)</f>
        <v/>
      </c>
      <c r="T13" s="11">
        <f>IF(AND(Q13&lt;&gt;"Closed",Q13&lt;&gt;"Risk Accepted",O13&lt;README!$B$4),"Yes","No")</f>
        <v/>
      </c>
      <c r="U13" s="11">
        <f>IF(O13&lt;&gt;N13,"Yes","No")</f>
        <v/>
      </c>
      <c r="V13" s="11">
        <f>IF(Q13="Risk Accepted","n/a (acceptance expiry)",IF(O13&lt;=M13,"Yes","No"))</f>
        <v/>
      </c>
      <c r="W13" s="12" t="inlineStr"/>
      <c r="X13" s="12" t="inlineStr">
        <is>
          <t>Inspection of SG and Security Hub status; re-performance: attempted to add 0.0.0.0/0:3389 rule in a sandbox OU account (denied by SCP)</t>
        </is>
      </c>
      <c r="Y13" s="11" t="inlineStr">
        <is>
          <t>EVID-068; EVID-053</t>
        </is>
      </c>
      <c r="Z13" s="11" t="inlineStr">
        <is>
          <t>Lead assessor</t>
        </is>
      </c>
      <c r="AA13" s="13" t="n">
        <v>46213</v>
      </c>
      <c r="AB13" s="12" t="inlineStr">
        <is>
          <t>Moderate (RISK-012 residual L2 x I4 = 8)</t>
        </is>
      </c>
      <c r="AC13" s="12" t="inlineStr">
        <is>
          <t>Remediated during fieldwork. Still reported as a finding because the control failed during the period.</t>
        </is>
      </c>
    </row>
    <row r="14">
      <c r="A14" s="11" t="inlineStr">
        <is>
          <t>POAM-013</t>
        </is>
      </c>
      <c r="B14" s="11" t="inlineStr">
        <is>
          <t>FIND-013</t>
        </is>
      </c>
      <c r="C14" s="11" t="inlineStr">
        <is>
          <t>CP-9(1)</t>
        </is>
      </c>
      <c r="D14" s="11" t="inlineStr">
        <is>
          <t>RISK-008</t>
        </is>
      </c>
      <c r="E14" s="12" t="inlineStr">
        <is>
          <t>Backup restoration never tested</t>
        </is>
      </c>
      <c r="F14" s="12" t="inlineStr">
        <is>
          <t>Recoverability assumed from job success; no scheduled restore test</t>
        </is>
      </c>
      <c r="G14" s="11" t="inlineStr">
        <is>
          <t>Moderate</t>
        </is>
      </c>
      <c r="H14" s="12" t="inlineStr">
        <is>
          <t>Documented restore from DR vault into isolated account with timing and integrity checks; semi-annual schedule in BCP-003</t>
        </is>
      </c>
      <c r="I14" s="12" t="inlineStr">
        <is>
          <t>M1 Write restore runbook and integrity-check queries (due 2026-08-21; Done) | M2 Perform restore test (assessor observes) (due 2026-08-28; Done) | M3 Add semi-annual restore test to BCP-003 calendar; assessor validation (due 2026-09-01; Done)</t>
        </is>
      </c>
      <c r="J14" s="11" t="inlineStr">
        <is>
          <t>Tomasz Wierzbicki (Director, Platform Engineering)</t>
        </is>
      </c>
      <c r="K14" s="12" t="inlineStr">
        <is>
          <t>SRE (about 16h); isolated recovery account</t>
        </is>
      </c>
      <c r="L14" s="13" t="n">
        <v>46241</v>
      </c>
      <c r="M14" s="13">
        <f>L14+IF(G14="Critical",30,IF(G14="High",90,IF(G14="Moderate",180,365)))</f>
        <v/>
      </c>
      <c r="N14" s="13" t="n">
        <v>46266</v>
      </c>
      <c r="O14" s="13" t="n">
        <v>46266</v>
      </c>
      <c r="P14" s="12" t="inlineStr"/>
      <c r="Q14" s="11" t="inlineStr">
        <is>
          <t>Closed</t>
        </is>
      </c>
      <c r="R14" s="14">
        <f>IFERROR(COUNTIFS(Milestones!$A:$A,A14,Milestones!$E:$E,"Done")/COUNTIF(Milestones!$A:$A,A14),0)</f>
        <v/>
      </c>
      <c r="S14" s="11">
        <f>IF(Q14="Closed",AA14-L14,README!$B$4-L14)</f>
        <v/>
      </c>
      <c r="T14" s="11">
        <f>IF(AND(Q14&lt;&gt;"Closed",Q14&lt;&gt;"Risk Accepted",O14&lt;README!$B$4),"Yes","No")</f>
        <v/>
      </c>
      <c r="U14" s="11">
        <f>IF(O14&lt;&gt;N14,"Yes","No")</f>
        <v/>
      </c>
      <c r="V14" s="11">
        <f>IF(Q14="Risk Accepted","n/a (acceptance expiry)",IF(O14&lt;=M14,"Yes","No"))</f>
        <v/>
      </c>
      <c r="W14" s="12" t="inlineStr"/>
      <c r="X14" s="12" t="inlineStr">
        <is>
          <t>Observation of restore test; inspection of timings vs RTO/RPO and integrity check output</t>
        </is>
      </c>
      <c r="Y14" s="11" t="inlineStr">
        <is>
          <t>EVID-069</t>
        </is>
      </c>
      <c r="Z14" s="11" t="inlineStr">
        <is>
          <t>Lead assessor</t>
        </is>
      </c>
      <c r="AA14" s="13" t="n">
        <v>46266</v>
      </c>
      <c r="AB14" s="12" t="inlineStr">
        <is>
          <t>Moderate (RISK-008 residual L2 x I4 = 8, pending POAM-014)</t>
        </is>
      </c>
      <c r="AC14" s="12" t="inlineStr"/>
    </row>
    <row r="15">
      <c r="A15" s="11" t="inlineStr">
        <is>
          <t>POAM-014</t>
        </is>
      </c>
      <c r="B15" s="11" t="inlineStr">
        <is>
          <t>FIND-014</t>
        </is>
      </c>
      <c r="C15" s="11" t="inlineStr">
        <is>
          <t>IR-3; CP-4</t>
        </is>
      </c>
      <c r="D15" s="11" t="inlineStr">
        <is>
          <t>RISK-009; RISK-008</t>
        </is>
      </c>
      <c r="E15" s="12" t="inlineStr">
        <is>
          <t>IR and contingency plans not tested in 12+ months; SHCA 24h path unrehearsed</t>
        </is>
      </c>
      <c r="F15" s="12" t="inlineStr">
        <is>
          <t>Exercises deferred twice without escalation</t>
        </is>
      </c>
      <c r="G15" s="11" t="inlineStr">
        <is>
          <t>Moderate</t>
        </is>
      </c>
      <c r="H15" s="12" t="inlineStr">
        <is>
          <t>Combined ransomware tabletop (IR + CP) with MDR, Legal/Privacy, Customer Ops, execs; update IRP-005 (SHCA 24h step, roster); track after-action items</t>
        </is>
      </c>
      <c r="I15" s="12" t="inlineStr">
        <is>
          <t>M1 Update IRP-005: SHCA 24h notification step + current roster (OBS-03) (due 2026-09-15; Done) | M2 Conduct ransomware tabletop (IR + CP) (due 2026-10-14; Not Started) | M3 Publish after-action report; add corrective actions to POA&amp;M (due 2026-10-30; Not Started) | M4 Assessor validation (due 2026-11-15; Not Started)</t>
        </is>
      </c>
      <c r="J15" s="11" t="inlineStr">
        <is>
          <t>Owen Castillo (Security Engineer)</t>
        </is>
      </c>
      <c r="K15" s="12" t="inlineStr">
        <is>
          <t>Facilitator (MDR-provided, in contract); 3h of 12 participants</t>
        </is>
      </c>
      <c r="L15" s="13" t="n">
        <v>46241</v>
      </c>
      <c r="M15" s="13">
        <f>L15+IF(G15="Critical",30,IF(G15="High",90,IF(G15="Moderate",180,365)))</f>
        <v/>
      </c>
      <c r="N15" s="13" t="n">
        <v>46341</v>
      </c>
      <c r="O15" s="13" t="n">
        <v>46341</v>
      </c>
      <c r="P15" s="12" t="inlineStr"/>
      <c r="Q15" s="11" t="inlineStr">
        <is>
          <t>In Progress</t>
        </is>
      </c>
      <c r="R15" s="14">
        <f>IFERROR(COUNTIFS(Milestones!$A:$A,A15,Milestones!$E:$E,"Done")/COUNTIF(Milestones!$A:$A,A15),0)</f>
        <v/>
      </c>
      <c r="S15" s="11">
        <f>IF(Q15="Closed",AA15-L15,README!$B$4-L15)</f>
        <v/>
      </c>
      <c r="T15" s="11">
        <f>IF(AND(Q15&lt;&gt;"Closed",Q15&lt;&gt;"Risk Accepted",O15&lt;README!$B$4),"Yes","No")</f>
        <v/>
      </c>
      <c r="U15" s="11">
        <f>IF(O15&lt;&gt;N15,"Yes","No")</f>
        <v/>
      </c>
      <c r="V15" s="11">
        <f>IF(Q15="Risk Accepted","n/a (acceptance expiry)",IF(O15&lt;=M15,"Yes","No"))</f>
        <v/>
      </c>
      <c r="W15" s="12" t="inlineStr">
        <is>
          <t>Executive calendar availability</t>
        </is>
      </c>
      <c r="X15" s="12" t="inlineStr">
        <is>
          <t>Inspection of exercise materials, attendance, after-action report; verify corrective actions are tracked</t>
        </is>
      </c>
      <c r="Y15" s="11" t="inlineStr"/>
      <c r="Z15" s="11" t="inlineStr"/>
      <c r="AA15" s="13" t="n"/>
      <c r="AB15" s="12" t="inlineStr">
        <is>
          <t>Moderate (RISK-009 residual L2 x I3 = 6)</t>
        </is>
      </c>
      <c r="AC15" s="12" t="inlineStr"/>
    </row>
    <row r="16">
      <c r="A16" s="11" t="inlineStr">
        <is>
          <t>POAM-015</t>
        </is>
      </c>
      <c r="B16" s="11" t="inlineStr">
        <is>
          <t>FIND-015</t>
        </is>
      </c>
      <c r="C16" s="11" t="inlineStr">
        <is>
          <t>SR-6; SA-9; SR-2</t>
        </is>
      </c>
      <c r="D16" s="11" t="inlineStr">
        <is>
          <t>RISK-011; RISK-010</t>
        </is>
      </c>
      <c r="E16" s="12" t="inlineStr">
        <is>
          <t>5 of 14 Tier 1–2 vendors overdue; no fourth-party inventory; no C-SCRM plan</t>
        </is>
      </c>
      <c r="F16" s="12" t="inlineStr">
        <is>
          <t>Under-resourced vendor program; spreadsheet tracking without reminders</t>
        </is>
      </c>
      <c r="G16" s="11" t="inlineStr">
        <is>
          <t>Moderate</t>
        </is>
      </c>
      <c r="H16" s="12" t="inlineStr">
        <is>
          <t>Clear overdue assessments (Tier 1 first); build fourth-party inventory; approve C-SCRM plan aligned to SP 800-161r1-upd1 / SP 800-18r2; renewal triggers</t>
        </is>
      </c>
      <c r="I16" s="12" t="inlineStr">
        <is>
          <t>M1 Assess Tier 1 overdue vendors (Pulsewire, Ironpeak) (due 2026-11-30; In Progress) | M2 Fourth-party inventory from updated questionnaires (all Tier 1) (due 2026-12-15; Not Started) | M3 Approve C-SCRM plan (due 2027-01-15; Not Started) | M4 Assess remaining Tier 2 overdue vendors; assessor validation (due 2027-02-03; Not Started)</t>
        </is>
      </c>
      <c r="J16" s="11" t="inlineStr">
        <is>
          <t>Beth Kowalski (Vendor Management Lead)</t>
        </is>
      </c>
      <c r="K16" s="12" t="inlineStr">
        <is>
          <t>Vendor Mgmt (about 0.5 FTE for 4 months); GRC Manager support</t>
        </is>
      </c>
      <c r="L16" s="13" t="n">
        <v>46241</v>
      </c>
      <c r="M16" s="13">
        <f>L16+IF(G16="Critical",30,IF(G16="High",90,IF(G16="Moderate",180,365)))</f>
        <v/>
      </c>
      <c r="N16" s="13" t="n">
        <v>46421</v>
      </c>
      <c r="O16" s="13" t="n">
        <v>46421</v>
      </c>
      <c r="P16" s="12" t="inlineStr"/>
      <c r="Q16" s="11" t="inlineStr">
        <is>
          <t>In Progress</t>
        </is>
      </c>
      <c r="R16" s="14">
        <f>IFERROR(COUNTIFS(Milestones!$A:$A,A16,Milestones!$E:$E,"Done")/COUNTIF(Milestones!$A:$A,A16),0)</f>
        <v/>
      </c>
      <c r="S16" s="11">
        <f>IF(Q16="Closed",AA16-L16,README!$B$4-L16)</f>
        <v/>
      </c>
      <c r="T16" s="11">
        <f>IF(AND(Q16&lt;&gt;"Closed",Q16&lt;&gt;"Risk Accepted",O16&lt;README!$B$4),"Yes","No")</f>
        <v/>
      </c>
      <c r="U16" s="11">
        <f>IF(O16&lt;&gt;N16,"Yes","No")</f>
        <v/>
      </c>
      <c r="V16" s="11">
        <f>IF(Q16="Risk Accepted","n/a (acceptance expiry)",IF(O16&lt;=M16,"Yes","No"))</f>
        <v/>
      </c>
      <c r="W16" s="12" t="inlineStr">
        <is>
          <t>Vendor responsiveness</t>
        </is>
      </c>
      <c r="X16" s="12" t="inlineStr">
        <is>
          <t>Inspection of vendor register (100% Tier 1–2 within frequency) and approved C-SCRM plan</t>
        </is>
      </c>
      <c r="Y16" s="11" t="inlineStr"/>
      <c r="Z16" s="11" t="inlineStr"/>
      <c r="AA16" s="13" t="n"/>
      <c r="AB16" s="12" t="inlineStr">
        <is>
          <t>Moderate (RISK-011 residual L2 x I4 = 8)</t>
        </is>
      </c>
      <c r="AC16" s="12" t="inlineStr"/>
    </row>
    <row r="17">
      <c r="A17" s="11" t="inlineStr">
        <is>
          <t>POAM-016</t>
        </is>
      </c>
      <c r="B17" s="11" t="inlineStr">
        <is>
          <t>FIND-016</t>
        </is>
      </c>
      <c r="C17" s="11" t="inlineStr">
        <is>
          <t>SA-9; SR-6</t>
        </is>
      </c>
      <c r="D17" s="11" t="inlineStr">
        <is>
          <t>RISK-010</t>
        </is>
      </c>
      <c r="E17" s="12" t="inlineStr">
        <is>
          <t>Quarrystone: offshore PHI access, 30-day breach notice, excessive data fields, stale pentest</t>
        </is>
      </c>
      <c r="F17" s="12" t="inlineStr">
        <is>
          <t>2023 contract on vendor paper before TPRM-007; self-attestation relied on; extract not designed for minimum necessary</t>
        </is>
      </c>
      <c r="G17" s="11" t="inlineStr">
        <is>
          <t>High</t>
        </is>
      </c>
      <c r="H17" s="12" t="inlineStr">
        <is>
          <t>Contract amendment (US-only + technical enforcement, 24h notice, subcontractor approval, data return/destruction 30 days with certificate, log cooperation); minimize extract to scoring-required fields with tokenized IDs; obtain current pentest + retest; SHCA data blocked until conditions met</t>
        </is>
      </c>
      <c r="I17" s="12" t="inlineStr">
        <is>
          <t>M1 Interim: vendor suspends offshore access to Wrenfield data (letter) (due 2026-07-24; Done) | M2 Execute contract amendment (redline v3 in negotiation) (due 2026-09-30; In Progress) | M3 Deploy minimized, tokenized extract (drop address, phone, email, free text) (due 2026-10-16; In Progress) | M4 Receive current pentest report + retest letter (EVID-051) (due 2026-10-30; Not Started) | M5 Assessor validation + vendor risk re-score (due 2026-11-05; Not Started)</t>
        </is>
      </c>
      <c r="J17" s="11" t="inlineStr">
        <is>
          <t>Dr. Miriam Castell (VP Clinical Analytics)</t>
        </is>
      </c>
      <c r="K17" s="12" t="inlineStr">
        <is>
          <t>General Counsel (about 20h); Data Engineering (about 60h for extract redesign); Vendor Mgmt</t>
        </is>
      </c>
      <c r="L17" s="13" t="n">
        <v>46241</v>
      </c>
      <c r="M17" s="13">
        <f>L17+IF(G17="Critical",30,IF(G17="High",90,IF(G17="Moderate",180,365)))</f>
        <v/>
      </c>
      <c r="N17" s="13" t="n">
        <v>46331</v>
      </c>
      <c r="O17" s="13" t="n">
        <v>46331</v>
      </c>
      <c r="P17" s="12" t="inlineStr"/>
      <c r="Q17" s="11" t="inlineStr">
        <is>
          <t>In Progress</t>
        </is>
      </c>
      <c r="R17" s="14">
        <f>IFERROR(COUNTIFS(Milestones!$A:$A,A17,Milestones!$E:$E,"Done")/COUNTIF(Milestones!$A:$A,A17),0)</f>
        <v/>
      </c>
      <c r="S17" s="11">
        <f>IF(Q17="Closed",AA17-L17,README!$B$4-L17)</f>
        <v/>
      </c>
      <c r="T17" s="11">
        <f>IF(AND(Q17&lt;&gt;"Closed",Q17&lt;&gt;"Risk Accepted",O17&lt;README!$B$4),"Yes","No")</f>
        <v/>
      </c>
      <c r="U17" s="11">
        <f>IF(O17&lt;&gt;N17,"Yes","No")</f>
        <v/>
      </c>
      <c r="V17" s="11">
        <f>IF(Q17="Risk Accepted","n/a (acceptance expiry)",IF(O17&lt;=M17,"Yes","No"))</f>
        <v/>
      </c>
      <c r="W17" s="12" t="inlineStr">
        <is>
          <t>Vendor negotiation; Quarrystone model retraining on minimized fields</t>
        </is>
      </c>
      <c r="X17" s="12" t="inlineStr">
        <is>
          <t>Inspection of executed amendment; test: sample extract file schema vs approved minimum field list; inspection of pentest/retest; vendor attestation of US-only access with access-log sample</t>
        </is>
      </c>
      <c r="Y17" s="11" t="inlineStr">
        <is>
          <t>EVID-073; EVID-051</t>
        </is>
      </c>
      <c r="Z17" s="11" t="inlineStr"/>
      <c r="AA17" s="13" t="n"/>
      <c r="AB17" s="12" t="inlineStr">
        <is>
          <t>Moderate target (RISK-010 residual L2 x I4 = 8); currently High</t>
        </is>
      </c>
      <c r="AC17" s="12" t="inlineStr">
        <is>
          <t>VR-001 (Critical) escalated to CEO 2026-07-17 per risk appetite; CEO approved conditional continuation 2026-07-22.</t>
        </is>
      </c>
    </row>
    <row r="18">
      <c r="A18" s="11" t="inlineStr">
        <is>
          <t>POAM-017</t>
        </is>
      </c>
      <c r="B18" s="11" t="inlineStr">
        <is>
          <t>FIND-017</t>
        </is>
      </c>
      <c r="C18" s="11" t="inlineStr">
        <is>
          <t>PL-2</t>
        </is>
      </c>
      <c r="D18" s="11" t="inlineStr">
        <is>
          <t>RISK-016</t>
        </is>
      </c>
      <c r="E18" s="12" t="inlineStr">
        <is>
          <t>SSP outdated; overstates implementation of 27 of 61 controls</t>
        </is>
      </c>
      <c r="F18" s="12" t="inlineStr">
        <is>
          <t>SSP maintained as SOC 2 narrative; no update trigger on architecture change</t>
        </is>
      </c>
      <c r="G18" s="11" t="inlineStr">
        <is>
          <t>Low</t>
        </is>
      </c>
      <c r="H18" s="12" t="inlineStr">
        <is>
          <t>Rewrite SSP control-by-control from the validated matrix (SP 800-18 Rev. 2 structure); add architecture-change trigger in CMP-006</t>
        </is>
      </c>
      <c r="I18" s="12" t="inlineStr">
        <is>
          <t>M1 SSP outline on SP 800-18r2 structure; boundary + data flows updated (due 2026-09-30; In Progress) | M2 Control implementation statements (61 controls) reviewed by owners (due 2026-11-30; Not Started) | M3 Approval by CTO (system owner); assessor validation (due 2026-12-15; Not Started)</t>
        </is>
      </c>
      <c r="J18" s="11" t="inlineStr">
        <is>
          <t>Priya Raman (Security Compliance Manager)</t>
        </is>
      </c>
      <c r="K18" s="12" t="inlineStr">
        <is>
          <t>GRC Manager (about 80h); control owner reviews</t>
        </is>
      </c>
      <c r="L18" s="13" t="n">
        <v>46241</v>
      </c>
      <c r="M18" s="13">
        <f>L18+IF(G18="Critical",30,IF(G18="High",90,IF(G18="Moderate",180,365)))</f>
        <v/>
      </c>
      <c r="N18" s="13" t="n">
        <v>46371</v>
      </c>
      <c r="O18" s="13" t="n">
        <v>46371</v>
      </c>
      <c r="P18" s="12" t="inlineStr"/>
      <c r="Q18" s="11" t="inlineStr">
        <is>
          <t>In Progress</t>
        </is>
      </c>
      <c r="R18" s="14">
        <f>IFERROR(COUNTIFS(Milestones!$A:$A,A18,Milestones!$E:$E,"Done")/COUNTIF(Milestones!$A:$A,A18),0)</f>
        <v/>
      </c>
      <c r="S18" s="11">
        <f>IF(Q18="Closed",AA18-L18,README!$B$4-L18)</f>
        <v/>
      </c>
      <c r="T18" s="11">
        <f>IF(AND(Q18&lt;&gt;"Closed",Q18&lt;&gt;"Risk Accepted",O18&lt;README!$B$4),"Yes","No")</f>
        <v/>
      </c>
      <c r="U18" s="11">
        <f>IF(O18&lt;&gt;N18,"Yes","No")</f>
        <v/>
      </c>
      <c r="V18" s="11">
        <f>IF(Q18="Risk Accepted","n/a (acceptance expiry)",IF(O18&lt;=M18,"Yes","No"))</f>
        <v/>
      </c>
      <c r="W18" s="12" t="inlineStr">
        <is>
          <t>Control owners' review time</t>
        </is>
      </c>
      <c r="X18" s="12" t="inlineStr">
        <is>
          <t>Inspection: SSP statements traced to matrix determinations (sample 15 controls)</t>
        </is>
      </c>
      <c r="Y18" s="11" t="inlineStr"/>
      <c r="Z18" s="11" t="inlineStr"/>
      <c r="AA18" s="13" t="n"/>
      <c r="AB18" s="12" t="inlineStr">
        <is>
          <t>Low (RISK-016 residual)</t>
        </is>
      </c>
      <c r="AC18" s="12" t="inlineStr"/>
    </row>
    <row r="19">
      <c r="A19" s="11" t="inlineStr">
        <is>
          <t>POAM-018</t>
        </is>
      </c>
      <c r="B19" s="11" t="inlineStr">
        <is>
          <t>FIND-018</t>
        </is>
      </c>
      <c r="C19" s="11" t="inlineStr">
        <is>
          <t>CM-3</t>
        </is>
      </c>
      <c r="D19" s="11" t="inlineStr">
        <is>
          <t>RISK-014</t>
        </is>
      </c>
      <c r="E19" s="12" t="inlineStr">
        <is>
          <t>Emergency and console changes bypass approval (3 of 25 sampled)</t>
        </is>
      </c>
      <c r="F19" s="12" t="inlineStr">
        <is>
          <t>Console/emergency paths rely on memory; no retro-approval tracking</t>
        </is>
      </c>
      <c r="G19" s="11" t="inlineStr">
        <is>
          <t>Moderate</t>
        </is>
      </c>
      <c r="H19" s="12" t="inlineStr">
        <is>
          <t>Auto-open retro-approval task on every emergency change with 2-day escalation; CloudTrail/EventBridge alerts on console changes to security groups and IAM; approval gate before deploy job</t>
        </is>
      </c>
      <c r="I19" s="12" t="inlineStr">
        <is>
          <t>M1 Retro-approval task automation for emergency changes (due 2026-08-28; Done) | M2 EventBridge alerts on console SG/IAM changes to on-call (due 2026-09-04; Not Started) | M3 Assessor validation: sample of emergency changes since M1 + alert test (due 2026-09-11; Not Started)</t>
        </is>
      </c>
      <c r="J19" s="11" t="inlineStr">
        <is>
          <t>Tomasz Wierzbicki (Director, Platform Engineering)</t>
        </is>
      </c>
      <c r="K19" s="12" t="inlineStr">
        <is>
          <t>SRE (about 24h)</t>
        </is>
      </c>
      <c r="L19" s="13" t="n">
        <v>46241</v>
      </c>
      <c r="M19" s="13">
        <f>L19+IF(G19="Critical",30,IF(G19="High",90,IF(G19="Moderate",180,365)))</f>
        <v/>
      </c>
      <c r="N19" s="13" t="n">
        <v>46276</v>
      </c>
      <c r="O19" s="13" t="n">
        <v>46276</v>
      </c>
      <c r="P19" s="12" t="inlineStr"/>
      <c r="Q19" s="11" t="inlineStr">
        <is>
          <t>In Progress</t>
        </is>
      </c>
      <c r="R19" s="14">
        <f>IFERROR(COUNTIFS(Milestones!$A:$A,A19,Milestones!$E:$E,"Done")/COUNTIF(Milestones!$A:$A,A19),0)</f>
        <v/>
      </c>
      <c r="S19" s="11">
        <f>IF(Q19="Closed",AA19-L19,README!$B$4-L19)</f>
        <v/>
      </c>
      <c r="T19" s="11">
        <f>IF(AND(Q19&lt;&gt;"Closed",Q19&lt;&gt;"Risk Accepted",O19&lt;README!$B$4),"Yes","No")</f>
        <v/>
      </c>
      <c r="U19" s="11">
        <f>IF(O19&lt;&gt;N19,"Yes","No")</f>
        <v/>
      </c>
      <c r="V19" s="11">
        <f>IF(Q19="Risk Accepted","n/a (acceptance expiry)",IF(O19&lt;=M19,"Yes","No"))</f>
        <v/>
      </c>
      <c r="W19" s="12" t="inlineStr">
        <is>
          <t>SRE backlog capacity (competing with POAM-011)</t>
        </is>
      </c>
      <c r="X19" s="12" t="inlineStr">
        <is>
          <t>Test: all emergency changes since 2026-08-28 retro-approved within 2 business days; trigger a test SG change and confirm alert</t>
        </is>
      </c>
      <c r="Y19" s="11" t="inlineStr"/>
      <c r="Z19" s="11" t="inlineStr"/>
      <c r="AA19" s="13" t="n"/>
      <c r="AB19" s="12" t="inlineStr">
        <is>
          <t>Moderate (RISK-014 residual L2 x I3 = 6)</t>
        </is>
      </c>
      <c r="AC19" s="12" t="inlineStr">
        <is>
          <t>Overdue since 2026-09-11; needs CTO prioritization decision against POAM-011 (same SRE team).</t>
        </is>
      </c>
    </row>
    <row r="20">
      <c r="A20" s="11" t="inlineStr">
        <is>
          <t>POAM-019</t>
        </is>
      </c>
      <c r="B20" s="11" t="inlineStr">
        <is>
          <t>FIND-019</t>
        </is>
      </c>
      <c r="C20" s="11" t="inlineStr">
        <is>
          <t>AT-2</t>
        </is>
      </c>
      <c r="D20" s="11" t="inlineStr">
        <is>
          <t>RISK-015</t>
        </is>
      </c>
      <c r="E20" s="12" t="inlineStr">
        <is>
          <t>Security awareness training completion 91%; suspension not enforced</t>
        </is>
      </c>
      <c r="F20" s="12" t="inlineStr">
        <is>
          <t>Reminders to users only; no manager escalation or enforcement</t>
        </is>
      </c>
      <c r="G20" s="11" t="inlineStr">
        <is>
          <t>Low</t>
        </is>
      </c>
      <c r="H20" s="12" t="inlineStr">
        <is>
          <t>Okta group rule enforcing suspension at 30 days overdue; manager escalation at 14 days; monthly completion reporting</t>
        </is>
      </c>
      <c r="I20" s="12" t="inlineStr">
        <is>
          <t>M1 Manager escalation at 14 days; enforcement group rule live (due 2026-08-21; Done) | M2 Reach &gt;= 99% (documented leave exceptions) (due 2026-09-15; Done) | M3 Assessor validation of EVID-070 (leave records for 3 exceptions) (due 2026-09-30; In Progress)</t>
        </is>
      </c>
      <c r="J20" s="11" t="inlineStr">
        <is>
          <t>Denise Yamamoto (Director of People)</t>
        </is>
      </c>
      <c r="K20" s="12" t="inlineStr">
        <is>
          <t>People Ops (about 8h); IAM Engineer (about 4h)</t>
        </is>
      </c>
      <c r="L20" s="13" t="n">
        <v>46241</v>
      </c>
      <c r="M20" s="13">
        <f>L20+IF(G20="Critical",30,IF(G20="High",90,IF(G20="Moderate",180,365)))</f>
        <v/>
      </c>
      <c r="N20" s="13" t="n">
        <v>46295</v>
      </c>
      <c r="O20" s="13" t="n">
        <v>46295</v>
      </c>
      <c r="P20" s="12" t="inlineStr"/>
      <c r="Q20" s="11" t="inlineStr">
        <is>
          <t>Completed – Pending Validation</t>
        </is>
      </c>
      <c r="R20" s="14">
        <f>IFERROR(COUNTIFS(Milestones!$A:$A,A20,Milestones!$E:$E,"Done")/COUNTIF(Milestones!$A:$A,A20),0)</f>
        <v/>
      </c>
      <c r="S20" s="11">
        <f>IF(Q20="Closed",AA20-L20,README!$B$4-L20)</f>
        <v/>
      </c>
      <c r="T20" s="11">
        <f>IF(AND(Q20&lt;&gt;"Closed",Q20&lt;&gt;"Risk Accepted",O20&lt;README!$B$4),"Yes","No")</f>
        <v/>
      </c>
      <c r="U20" s="11">
        <f>IF(O20&lt;&gt;N20,"Yes","No")</f>
        <v/>
      </c>
      <c r="V20" s="11">
        <f>IF(Q20="Risk Accepted","n/a (acceptance expiry)",IF(O20&lt;=M20,"Yes","No"))</f>
        <v/>
      </c>
      <c r="W20" s="12" t="inlineStr"/>
      <c r="X20" s="12" t="inlineStr">
        <is>
          <t>Inspection: LMS roster reconciled to Okta active population; leave exceptions verified in PeopleHub</t>
        </is>
      </c>
      <c r="Y20" s="11" t="inlineStr">
        <is>
          <t>EVID-070</t>
        </is>
      </c>
      <c r="Z20" s="11" t="inlineStr"/>
      <c r="AA20" s="13" t="n"/>
      <c r="AB20" s="12" t="inlineStr">
        <is>
          <t>Moderate, accepted (RISK-015 residual L3 x I3 = 9)</t>
        </is>
      </c>
      <c r="AC20" s="12" t="inlineStr"/>
    </row>
  </sheetData>
  <autoFilter ref="A1:AC20"/>
  <conditionalFormatting sqref="G2:G220">
    <cfRule type="expression" priority="1" dxfId="0">
      <formula>G2="Critical"</formula>
    </cfRule>
    <cfRule type="expression" priority="2" dxfId="1">
      <formula>G2="High"</formula>
    </cfRule>
    <cfRule type="expression" priority="3" dxfId="2">
      <formula>G2="Moderate"</formula>
    </cfRule>
    <cfRule type="expression" priority="4" dxfId="3">
      <formula>G2="Low"</formula>
    </cfRule>
  </conditionalFormatting>
  <conditionalFormatting sqref="Q2:Q220">
    <cfRule type="expression" priority="5" dxfId="4">
      <formula>Q2="Satisfied"</formula>
    </cfRule>
    <cfRule type="expression" priority="6" dxfId="5">
      <formula>Q2="Other Than Satisfied"</formula>
    </cfRule>
    <cfRule type="expression" priority="7" dxfId="4">
      <formula>Q2="Closed"</formula>
    </cfRule>
    <cfRule type="expression" priority="8" dxfId="4">
      <formula>Q2="Accepted"</formula>
    </cfRule>
    <cfRule type="expression" priority="9" dxfId="6">
      <formula>Q2="Risk Accepted"</formula>
    </cfRule>
    <cfRule type="expression" priority="10" dxfId="5">
      <formula>Q2="Overdue"</formula>
    </cfRule>
    <cfRule type="expression" priority="11" dxfId="5">
      <formula>Q2="Yes"</formula>
    </cfRule>
    <cfRule type="expression" priority="12" dxfId="5">
      <formula>Q2="Insufficient"</formula>
    </cfRule>
    <cfRule type="expression" priority="13" dxfId="7">
      <formula>Q2="Rework Required"</formula>
    </cfRule>
    <cfRule type="expression" priority="14" dxfId="7">
      <formula>Q2="Delayed"</formula>
    </cfRule>
  </conditionalFormatting>
  <conditionalFormatting sqref="T2:T220">
    <cfRule type="expression" priority="15" dxfId="4">
      <formula>T2="Satisfied"</formula>
    </cfRule>
    <cfRule type="expression" priority="16" dxfId="5">
      <formula>T2="Other Than Satisfied"</formula>
    </cfRule>
    <cfRule type="expression" priority="17" dxfId="4">
      <formula>T2="Closed"</formula>
    </cfRule>
    <cfRule type="expression" priority="18" dxfId="4">
      <formula>T2="Accepted"</formula>
    </cfRule>
    <cfRule type="expression" priority="19" dxfId="6">
      <formula>T2="Risk Accepted"</formula>
    </cfRule>
    <cfRule type="expression" priority="20" dxfId="5">
      <formula>T2="Overdue"</formula>
    </cfRule>
    <cfRule type="expression" priority="21" dxfId="5">
      <formula>T2="Yes"</formula>
    </cfRule>
    <cfRule type="expression" priority="22" dxfId="5">
      <formula>T2="Insufficient"</formula>
    </cfRule>
    <cfRule type="expression" priority="23" dxfId="7">
      <formula>T2="Rework Required"</formula>
    </cfRule>
    <cfRule type="expression" priority="24" dxfId="7">
      <formula>T2="Delayed"</formula>
    </cfRule>
  </conditionalFormatting>
  <dataValidations count="1">
    <dataValidation sqref="Q2:Q220" showDropDown="0" showInputMessage="0" showErrorMessage="1" allowBlank="1" errorTitle="Controlled value" error="Choose a value from the list (controlled vocabulary)." type="list">
      <formula1>"Open,In Progress,Delayed,Completed – Pending Validation,Closed,Risk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0" customWidth="1" min="3" max="3"/>
    <col width="16" customWidth="1" min="4" max="4"/>
    <col width="16" customWidth="1" min="5" max="5"/>
    <col width="16" customWidth="1" min="6" max="6"/>
    <col width="16" customWidth="1" min="7" max="7"/>
  </cols>
  <sheetData>
    <row r="1" ht="32" customHeight="1">
      <c r="A1" s="10" t="inlineStr">
        <is>
          <t>POA&amp;M ID</t>
        </is>
      </c>
      <c r="B1" s="10" t="inlineStr">
        <is>
          <t>Milestone</t>
        </is>
      </c>
      <c r="C1" s="10" t="inlineStr">
        <is>
          <t>Description</t>
        </is>
      </c>
      <c r="D1" s="10" t="inlineStr">
        <is>
          <t>Due Date</t>
        </is>
      </c>
      <c r="E1" s="10" t="inlineStr">
        <is>
          <t>Status</t>
        </is>
      </c>
      <c r="F1" s="10" t="inlineStr">
        <is>
          <t>Completed Date</t>
        </is>
      </c>
      <c r="G1" s="10" t="inlineStr">
        <is>
          <t>Late?</t>
        </is>
      </c>
    </row>
    <row r="2">
      <c r="A2" s="11" t="inlineStr">
        <is>
          <t>POAM-001</t>
        </is>
      </c>
      <c r="B2" s="11" t="inlineStr">
        <is>
          <t>M1</t>
        </is>
      </c>
      <c r="C2" s="12" t="inlineStr">
        <is>
          <t>Disable 4 identified accounts (AR-EX-01..04); investigate post-termination sign-in (INC-2026-0117)</t>
        </is>
      </c>
      <c r="D2" s="13" t="n">
        <v>46213</v>
      </c>
      <c r="E2" s="11" t="inlineStr">
        <is>
          <t>Done</t>
        </is>
      </c>
      <c r="F2" s="13" t="n">
        <v>46212</v>
      </c>
      <c r="G2" s="11">
        <f>IF(AND(E2&lt;&gt;"Done",D2&lt;README!$B$4),"Yes","No")</f>
        <v/>
      </c>
    </row>
    <row r="3">
      <c r="A3" s="11" t="inlineStr">
        <is>
          <t>POAM-001</t>
        </is>
      </c>
      <c r="B3" s="11" t="inlineStr">
        <is>
          <t>M2</t>
        </is>
      </c>
      <c r="C3" s="12" t="inlineStr">
        <is>
          <t>Deploy daily HR-to-Okta/AWS IAM/portal reconciliation job with auto-ticketing</t>
        </is>
      </c>
      <c r="D3" s="13" t="n">
        <v>46255</v>
      </c>
      <c r="E3" s="11" t="inlineStr">
        <is>
          <t>Done</t>
        </is>
      </c>
      <c r="F3" s="13" t="n">
        <v>46237</v>
      </c>
      <c r="G3" s="11">
        <f>IF(AND(E3&lt;&gt;"Done",D3&lt;README!$B$4),"Yes","No")</f>
        <v/>
      </c>
    </row>
    <row r="4">
      <c r="A4" s="11" t="inlineStr">
        <is>
          <t>POAM-001</t>
        </is>
      </c>
      <c r="B4" s="11" t="inlineStr">
        <is>
          <t>M3</t>
        </is>
      </c>
      <c r="C4" s="12" t="inlineStr">
        <is>
          <t>Update SOP-IAM-02 (24h SLA, local-account checklist, vendor portals); train IT</t>
        </is>
      </c>
      <c r="D4" s="13" t="n">
        <v>46262</v>
      </c>
      <c r="E4" s="11" t="inlineStr">
        <is>
          <t>Done</t>
        </is>
      </c>
      <c r="F4" s="13" t="n">
        <v>46260</v>
      </c>
      <c r="G4" s="11">
        <f>IF(AND(E4&lt;&gt;"Done",D4&lt;README!$B$4),"Yes","No")</f>
        <v/>
      </c>
    </row>
    <row r="5">
      <c r="A5" s="11" t="inlineStr">
        <is>
          <t>POAM-001</t>
        </is>
      </c>
      <c r="B5" s="11" t="inlineStr">
        <is>
          <t>M4</t>
        </is>
      </c>
      <c r="C5" s="12" t="inlineStr">
        <is>
          <t>Assessor validation: re-perform termination test on all terminations since 2026-07-01 + 5 job runs</t>
        </is>
      </c>
      <c r="D5" s="13" t="n">
        <v>46276</v>
      </c>
      <c r="E5" s="11" t="inlineStr">
        <is>
          <t>Done</t>
        </is>
      </c>
      <c r="F5" s="13" t="n">
        <v>46275</v>
      </c>
      <c r="G5" s="11">
        <f>IF(AND(E5&lt;&gt;"Done",D5&lt;README!$B$4),"Yes","No")</f>
        <v/>
      </c>
    </row>
    <row r="6">
      <c r="A6" s="11" t="inlineStr">
        <is>
          <t>POAM-002</t>
        </is>
      </c>
      <c r="B6" s="11" t="inlineStr">
        <is>
          <t>M1</t>
        </is>
      </c>
      <c r="C6" s="12" t="inlineStr">
        <is>
          <t>Enroll 9 human members in MFA (accommodation for 1)</t>
        </is>
      </c>
      <c r="D6" s="13" t="n">
        <v>46262</v>
      </c>
      <c r="E6" s="11" t="inlineStr">
        <is>
          <t>Done</t>
        </is>
      </c>
      <c r="F6" s="13" t="n">
        <v>46261</v>
      </c>
      <c r="G6" s="11">
        <f>IF(AND(E6&lt;&gt;"Done",D6&lt;README!$B$4),"Yes","No")</f>
        <v/>
      </c>
    </row>
    <row r="7">
      <c r="A7" s="11" t="inlineStr">
        <is>
          <t>POAM-002</t>
        </is>
      </c>
      <c r="B7" s="11" t="inlineStr">
        <is>
          <t>M2</t>
        </is>
      </c>
      <c r="C7" s="12" t="inlineStr">
        <is>
          <t>Convert svc-vulnscan and svc-confroom to non-interactive integrations</t>
        </is>
      </c>
      <c r="D7" s="13" t="n">
        <v>46262</v>
      </c>
      <c r="E7" s="11" t="inlineStr">
        <is>
          <t>Done</t>
        </is>
      </c>
      <c r="F7" s="13" t="n">
        <v>46261</v>
      </c>
      <c r="G7" s="11">
        <f>IF(AND(E7&lt;&gt;"Done",D7&lt;README!$B$4),"Yes","No")</f>
        <v/>
      </c>
    </row>
    <row r="8">
      <c r="A8" s="11" t="inlineStr">
        <is>
          <t>POAM-002</t>
        </is>
      </c>
      <c r="B8" s="11" t="inlineStr">
        <is>
          <t>M3</t>
        </is>
      </c>
      <c r="C8" s="12" t="inlineStr">
        <is>
          <t>Delete Legacy Exemption Policy and group; phishing-resistant policy on admin apps (CHG-2026-0731)</t>
        </is>
      </c>
      <c r="D8" s="13" t="n">
        <v>46266</v>
      </c>
      <c r="E8" s="11" t="inlineStr">
        <is>
          <t>Done</t>
        </is>
      </c>
      <c r="F8" s="13" t="n">
        <v>46262</v>
      </c>
      <c r="G8" s="11">
        <f>IF(AND(E8&lt;&gt;"Done",D8&lt;README!$B$4),"Yes","No")</f>
        <v/>
      </c>
    </row>
    <row r="9">
      <c r="A9" s="11" t="inlineStr">
        <is>
          <t>POAM-002</t>
        </is>
      </c>
      <c r="B9" s="11" t="inlineStr">
        <is>
          <t>M4</t>
        </is>
      </c>
      <c r="C9" s="12" t="inlineStr">
        <is>
          <t>Assessor validation: policy export, group lookup, password-only sign-in attempt, IAM credential report</t>
        </is>
      </c>
      <c r="D9" s="13" t="n">
        <v>46270</v>
      </c>
      <c r="E9" s="11" t="inlineStr">
        <is>
          <t>Done</t>
        </is>
      </c>
      <c r="F9" s="13" t="n">
        <v>46270</v>
      </c>
      <c r="G9" s="11">
        <f>IF(AND(E9&lt;&gt;"Done",D9&lt;README!$B$4),"Yes","No")</f>
        <v/>
      </c>
    </row>
    <row r="10">
      <c r="A10" s="11" t="inlineStr">
        <is>
          <t>POAM-003</t>
        </is>
      </c>
      <c r="B10" s="11" t="inlineStr">
        <is>
          <t>M1</t>
        </is>
      </c>
      <c r="C10" s="12" t="inlineStr">
        <is>
          <t>Remove excess grants: AR-EX-05/06/07/08/09</t>
        </is>
      </c>
      <c r="D10" s="13" t="n">
        <v>46255</v>
      </c>
      <c r="E10" s="11" t="inlineStr">
        <is>
          <t>Done</t>
        </is>
      </c>
      <c r="F10" s="13" t="n">
        <v>46254</v>
      </c>
      <c r="G10" s="11">
        <f>IF(AND(E10&lt;&gt;"Done",D10&lt;README!$B$4),"Yes","No")</f>
        <v/>
      </c>
    </row>
    <row r="11">
      <c r="A11" s="11" t="inlineStr">
        <is>
          <t>POAM-003</t>
        </is>
      </c>
      <c r="B11" s="11" t="inlineStr">
        <is>
          <t>M2</t>
        </is>
      </c>
      <c r="C11" s="12" t="inlineStr">
        <is>
          <t>Issue -adm accounts for remaining admins; remove admin from daily accounts (AR-EX-10)</t>
        </is>
      </c>
      <c r="D11" s="13" t="n">
        <v>46295</v>
      </c>
      <c r="E11" s="11" t="inlineStr">
        <is>
          <t>In Progress</t>
        </is>
      </c>
      <c r="F11" s="13" t="n"/>
      <c r="G11" s="11">
        <f>IF(AND(E11&lt;&gt;"Done",D11&lt;README!$B$4),"Yes","No")</f>
        <v/>
      </c>
    </row>
    <row r="12">
      <c r="A12" s="11" t="inlineStr">
        <is>
          <t>POAM-003</t>
        </is>
      </c>
      <c r="B12" s="11" t="inlineStr">
        <is>
          <t>M3</t>
        </is>
      </c>
      <c r="C12" s="12" t="inlineStr">
        <is>
          <t>Implement JIT elevation (approval + 4h auto-expiry) for AWS AdministratorAccess</t>
        </is>
      </c>
      <c r="D12" s="13" t="n">
        <v>46318</v>
      </c>
      <c r="E12" s="11" t="inlineStr">
        <is>
          <t>In Progress</t>
        </is>
      </c>
      <c r="F12" s="13" t="n"/>
      <c r="G12" s="11">
        <f>IF(AND(E12&lt;&gt;"Done",D12&lt;README!$B$4),"Yes","No")</f>
        <v/>
      </c>
    </row>
    <row r="13">
      <c r="A13" s="11" t="inlineStr">
        <is>
          <t>POAM-003</t>
        </is>
      </c>
      <c r="B13" s="11" t="inlineStr">
        <is>
          <t>M4</t>
        </is>
      </c>
      <c r="C13" s="12" t="inlineStr">
        <is>
          <t>Assessor validation: assignment export + live elevation record with CloudTrail evidence</t>
        </is>
      </c>
      <c r="D13" s="13" t="n">
        <v>46331</v>
      </c>
      <c r="E13" s="11" t="inlineStr">
        <is>
          <t>Not Started</t>
        </is>
      </c>
      <c r="F13" s="13" t="n"/>
      <c r="G13" s="11">
        <f>IF(AND(E13&lt;&gt;"Done",D13&lt;README!$B$4),"Yes","No")</f>
        <v/>
      </c>
    </row>
    <row r="14">
      <c r="A14" s="11" t="inlineStr">
        <is>
          <t>POAM-004</t>
        </is>
      </c>
      <c r="B14" s="11" t="inlineStr">
        <is>
          <t>M1</t>
        </is>
      </c>
      <c r="C14" s="12" t="inlineStr">
        <is>
          <t>Revoke duplicate, transferred, and inactive access (AR-EX-12/13/14)</t>
        </is>
      </c>
      <c r="D14" s="13" t="n">
        <v>46220</v>
      </c>
      <c r="E14" s="11" t="inlineStr">
        <is>
          <t>Done</t>
        </is>
      </c>
      <c r="F14" s="13" t="n">
        <v>46217</v>
      </c>
      <c r="G14" s="11">
        <f>IF(AND(E14&lt;&gt;"Done",D14&lt;README!$B$4),"Yes","No")</f>
        <v/>
      </c>
    </row>
    <row r="15">
      <c r="A15" s="11" t="inlineStr">
        <is>
          <t>POAM-004</t>
        </is>
      </c>
      <c r="B15" s="11" t="inlineStr">
        <is>
          <t>M2</t>
        </is>
      </c>
      <c r="C15" s="12" t="inlineStr">
        <is>
          <t>Add transfer trigger to SOP-IAM-02 (re-baseline access within 5 business days)</t>
        </is>
      </c>
      <c r="D15" s="13" t="n">
        <v>46262</v>
      </c>
      <c r="E15" s="11" t="inlineStr">
        <is>
          <t>Done</t>
        </is>
      </c>
      <c r="F15" s="13" t="n">
        <v>46259</v>
      </c>
      <c r="G15" s="11">
        <f>IF(AND(E15&lt;&gt;"Done",D15&lt;README!$B$4),"Yes","No")</f>
        <v/>
      </c>
    </row>
    <row r="16">
      <c r="A16" s="11" t="inlineStr">
        <is>
          <t>POAM-004</t>
        </is>
      </c>
      <c r="B16" s="11" t="inlineStr">
        <is>
          <t>M3</t>
        </is>
      </c>
      <c r="C16" s="12" t="inlineStr">
        <is>
          <t>Run Q3 privileged certification on new design (EVID-074)</t>
        </is>
      </c>
      <c r="D16" s="13" t="n">
        <v>46295</v>
      </c>
      <c r="E16" s="11" t="inlineStr">
        <is>
          <t>In Progress</t>
        </is>
      </c>
      <c r="F16" s="13" t="n"/>
      <c r="G16" s="11">
        <f>IF(AND(E16&lt;&gt;"Done",D16&lt;README!$B$4),"Yes","No")</f>
        <v/>
      </c>
    </row>
    <row r="17">
      <c r="A17" s="11" t="inlineStr">
        <is>
          <t>POAM-004</t>
        </is>
      </c>
      <c r="B17" s="11" t="inlineStr">
        <is>
          <t>M4</t>
        </is>
      </c>
      <c r="C17" s="12" t="inlineStr">
        <is>
          <t>Assessor validation: review Q3 campaign decisions for flagged items and rationale quality</t>
        </is>
      </c>
      <c r="D17" s="13" t="n">
        <v>46326</v>
      </c>
      <c r="E17" s="11" t="inlineStr">
        <is>
          <t>Not Started</t>
        </is>
      </c>
      <c r="F17" s="13" t="n"/>
      <c r="G17" s="11">
        <f>IF(AND(E17&lt;&gt;"Done",D17&lt;README!$B$4),"Yes","No")</f>
        <v/>
      </c>
    </row>
    <row r="18">
      <c r="A18" s="11" t="inlineStr">
        <is>
          <t>POAM-005</t>
        </is>
      </c>
      <c r="B18" s="11" t="inlineStr">
        <is>
          <t>M1</t>
        </is>
      </c>
      <c r="C18" s="12" t="inlineStr">
        <is>
          <t>Assign owners to all 13 non-human accounts; add fields to register</t>
        </is>
      </c>
      <c r="D18" s="13" t="n">
        <v>46255</v>
      </c>
      <c r="E18" s="11" t="inlineStr">
        <is>
          <t>Done</t>
        </is>
      </c>
      <c r="F18" s="13" t="n">
        <v>46252</v>
      </c>
      <c r="G18" s="11">
        <f>IF(AND(E18&lt;&gt;"Done",D18&lt;README!$B$4),"Yes","No")</f>
        <v/>
      </c>
    </row>
    <row r="19">
      <c r="A19" s="11" t="inlineStr">
        <is>
          <t>POAM-005</t>
        </is>
      </c>
      <c r="B19" s="11" t="inlineStr">
        <is>
          <t>M2</t>
        </is>
      </c>
      <c r="C19" s="12" t="inlineStr">
        <is>
          <t>Rotate svc-quarrystone-sftp key (AR-EX-18)</t>
        </is>
      </c>
      <c r="D19" s="13" t="n">
        <v>46262</v>
      </c>
      <c r="E19" s="11" t="inlineStr">
        <is>
          <t>Done</t>
        </is>
      </c>
      <c r="F19" s="13" t="n">
        <v>46259</v>
      </c>
      <c r="G19" s="11">
        <f>IF(AND(E19&lt;&gt;"Done",D19&lt;README!$B$4),"Yes","No")</f>
        <v/>
      </c>
    </row>
    <row r="20">
      <c r="A20" s="11" t="inlineStr">
        <is>
          <t>POAM-005</t>
        </is>
      </c>
      <c r="B20" s="11" t="inlineStr">
        <is>
          <t>M3</t>
        </is>
      </c>
      <c r="C20" s="12" t="inlineStr">
        <is>
          <t>Replace ironpeak-soc shared login with 6 named federated accounts (AR-EX-20)</t>
        </is>
      </c>
      <c r="D20" s="13" t="n">
        <v>46269</v>
      </c>
      <c r="E20" s="11" t="inlineStr">
        <is>
          <t>Done</t>
        </is>
      </c>
      <c r="F20" s="13" t="n">
        <v>46265</v>
      </c>
      <c r="G20" s="11">
        <f>IF(AND(E20&lt;&gt;"Done",D20&lt;README!$B$4),"Yes","No")</f>
        <v/>
      </c>
    </row>
    <row r="21">
      <c r="A21" s="11" t="inlineStr">
        <is>
          <t>POAM-005</t>
        </is>
      </c>
      <c r="B21" s="11" t="inlineStr">
        <is>
          <t>M4</t>
        </is>
      </c>
      <c r="C21" s="12" t="inlineStr">
        <is>
          <t>Migrate svc-reporting-etl to IAM role; delete IAM user (AR-EX-19)</t>
        </is>
      </c>
      <c r="D21" s="13" t="n">
        <v>46276</v>
      </c>
      <c r="E21" s="11" t="inlineStr">
        <is>
          <t>Done</t>
        </is>
      </c>
      <c r="F21" s="13" t="n">
        <v>46268</v>
      </c>
      <c r="G21" s="11">
        <f>IF(AND(E21&lt;&gt;"Done",D21&lt;README!$B$4),"Yes","No")</f>
        <v/>
      </c>
    </row>
    <row r="22">
      <c r="A22" s="11" t="inlineStr">
        <is>
          <t>POAM-005</t>
        </is>
      </c>
      <c r="B22" s="11" t="inlineStr">
        <is>
          <t>M5</t>
        </is>
      </c>
      <c r="C22" s="12" t="inlineStr">
        <is>
          <t>Assessor validation: register re-test (owner + credential age) and IAM credential report</t>
        </is>
      </c>
      <c r="D22" s="13" t="n">
        <v>46277</v>
      </c>
      <c r="E22" s="11" t="inlineStr">
        <is>
          <t>Done</t>
        </is>
      </c>
      <c r="F22" s="13" t="n">
        <v>46277</v>
      </c>
      <c r="G22" s="11">
        <f>IF(AND(E22&lt;&gt;"Done",D22&lt;README!$B$4),"Yes","No")</f>
        <v/>
      </c>
    </row>
    <row r="23">
      <c r="A23" s="11" t="inlineStr">
        <is>
          <t>POAM-006</t>
        </is>
      </c>
      <c r="B23" s="11" t="inlineStr">
        <is>
          <t>M1</t>
        </is>
      </c>
      <c r="C23" s="12" t="inlineStr">
        <is>
          <t>Execute SOW amendment for awu; revoke out-of-scope PHI access (AR-EX-15/16)</t>
        </is>
      </c>
      <c r="D23" s="13" t="n">
        <v>46227</v>
      </c>
      <c r="E23" s="11" t="inlineStr">
        <is>
          <t>Done</t>
        </is>
      </c>
      <c r="F23" s="13" t="n">
        <v>46225</v>
      </c>
      <c r="G23" s="11">
        <f>IF(AND(E23&lt;&gt;"Done",D23&lt;README!$B$4),"Yes","No")</f>
        <v/>
      </c>
    </row>
    <row r="24">
      <c r="A24" s="11" t="inlineStr">
        <is>
          <t>POAM-006</t>
        </is>
      </c>
      <c r="B24" s="11" t="inlineStr">
        <is>
          <t>M2</t>
        </is>
      </c>
      <c r="C24" s="12" t="inlineStr">
        <is>
          <t>Set Okta expiry for all contractor accounts; add SOW-scope field to access request form</t>
        </is>
      </c>
      <c r="D24" s="13" t="n">
        <v>46262</v>
      </c>
      <c r="E24" s="11" t="inlineStr">
        <is>
          <t>Done</t>
        </is>
      </c>
      <c r="F24" s="13" t="n">
        <v>46258</v>
      </c>
      <c r="G24" s="11">
        <f>IF(AND(E24&lt;&gt;"Done",D24&lt;README!$B$4),"Yes","No")</f>
        <v/>
      </c>
    </row>
    <row r="25">
      <c r="A25" s="11" t="inlineStr">
        <is>
          <t>POAM-006</t>
        </is>
      </c>
      <c r="B25" s="11" t="inlineStr">
        <is>
          <t>M3</t>
        </is>
      </c>
      <c r="C25" s="12" t="inlineStr">
        <is>
          <t>Assessor validation: expiry report vs SOW register</t>
        </is>
      </c>
      <c r="D25" s="13" t="n">
        <v>46275</v>
      </c>
      <c r="E25" s="11" t="inlineStr">
        <is>
          <t>Done</t>
        </is>
      </c>
      <c r="F25" s="13" t="n">
        <v>46273</v>
      </c>
      <c r="G25" s="11">
        <f>IF(AND(E25&lt;&gt;"Done",D25&lt;README!$B$4),"Yes","No")</f>
        <v/>
      </c>
    </row>
    <row r="26">
      <c r="A26" s="11" t="inlineStr">
        <is>
          <t>POAM-007</t>
        </is>
      </c>
      <c r="B26" s="11" t="inlineStr">
        <is>
          <t>M1</t>
        </is>
      </c>
      <c r="C26" s="12" t="inlineStr">
        <is>
          <t>Sign RACC-001 (CFO as risk owner; CISO concurrence)</t>
        </is>
      </c>
      <c r="D26" s="13" t="n">
        <v>46248</v>
      </c>
      <c r="E26" s="11" t="inlineStr">
        <is>
          <t>Done</t>
        </is>
      </c>
      <c r="F26" s="13" t="n">
        <v>46246</v>
      </c>
      <c r="G26" s="11">
        <f>IF(AND(E26&lt;&gt;"Done",D26&lt;README!$B$4),"Yes","No")</f>
        <v/>
      </c>
    </row>
    <row r="27">
      <c r="A27" s="11" t="inlineStr">
        <is>
          <t>POAM-007</t>
        </is>
      </c>
      <c r="B27" s="11" t="inlineStr">
        <is>
          <t>M2</t>
        </is>
      </c>
      <c r="C27" s="12" t="inlineStr">
        <is>
          <t>Continue monthly compensating review (evidence each month to GRC)</t>
        </is>
      </c>
      <c r="D27" s="13" t="n">
        <v>46477</v>
      </c>
      <c r="E27" s="11" t="inlineStr">
        <is>
          <t>In Progress</t>
        </is>
      </c>
      <c r="F27" s="13" t="n"/>
      <c r="G27" s="11">
        <f>IF(AND(E27&lt;&gt;"Done",D27&lt;README!$B$4),"Yes","No")</f>
        <v/>
      </c>
    </row>
    <row r="28">
      <c r="A28" s="11" t="inlineStr">
        <is>
          <t>POAM-007</t>
        </is>
      </c>
      <c r="B28" s="11" t="inlineStr">
        <is>
          <t>M3</t>
        </is>
      </c>
      <c r="C28" s="12" t="inlineStr">
        <is>
          <t>Split roles at AP backfill (requisition open)</t>
        </is>
      </c>
      <c r="D28" s="13" t="n">
        <v>46477</v>
      </c>
      <c r="E28" s="11" t="inlineStr">
        <is>
          <t>Not Started</t>
        </is>
      </c>
      <c r="F28" s="13" t="n"/>
      <c r="G28" s="11">
        <f>IF(AND(E28&lt;&gt;"Done",D28&lt;README!$B$4),"Yes","No")</f>
        <v/>
      </c>
    </row>
    <row r="29">
      <c r="A29" s="11" t="inlineStr">
        <is>
          <t>POAM-008</t>
        </is>
      </c>
      <c r="B29" s="11" t="inlineStr">
        <is>
          <t>M1</t>
        </is>
      </c>
      <c r="C29" s="12" t="inlineStr">
        <is>
          <t>Change S3 lifecycle to 400-day expiry with Glacier IR after 90d (CHG-2026-0702)</t>
        </is>
      </c>
      <c r="D29" s="13" t="n">
        <v>46255</v>
      </c>
      <c r="E29" s="11" t="inlineStr">
        <is>
          <t>Done</t>
        </is>
      </c>
      <c r="F29" s="13" t="n">
        <v>46253</v>
      </c>
      <c r="G29" s="11">
        <f>IF(AND(E29&lt;&gt;"Done",D29&lt;README!$B$4),"Yes","No")</f>
        <v/>
      </c>
    </row>
    <row r="30">
      <c r="A30" s="11" t="inlineStr">
        <is>
          <t>POAM-008</t>
        </is>
      </c>
      <c r="B30" s="11" t="inlineStr">
        <is>
          <t>M2</t>
        </is>
      </c>
      <c r="C30" s="12" t="inlineStr">
        <is>
          <t>Subscribe app-audit CloudWatch logs to log-archive (Firehose)</t>
        </is>
      </c>
      <c r="D30" s="13" t="n">
        <v>46262</v>
      </c>
      <c r="E30" s="11" t="inlineStr">
        <is>
          <t>Done</t>
        </is>
      </c>
      <c r="F30" s="13" t="n">
        <v>46261</v>
      </c>
      <c r="G30" s="11">
        <f>IF(AND(E30&lt;&gt;"Done",D30&lt;README!$B$4),"Yes","No")</f>
        <v/>
      </c>
    </row>
    <row r="31">
      <c r="A31" s="11" t="inlineStr">
        <is>
          <t>POAM-008</t>
        </is>
      </c>
      <c r="B31" s="11" t="inlineStr">
        <is>
          <t>M3</t>
        </is>
      </c>
      <c r="C31" s="12" t="inlineStr">
        <is>
          <t>Assessor validation: config inspection + oldest-object query</t>
        </is>
      </c>
      <c r="D31" s="13" t="n">
        <v>46280</v>
      </c>
      <c r="E31" s="11" t="inlineStr">
        <is>
          <t>Done</t>
        </is>
      </c>
      <c r="F31" s="13" t="n">
        <v>46277</v>
      </c>
      <c r="G31" s="11">
        <f>IF(AND(E31&lt;&gt;"Done",D31&lt;README!$B$4),"Yes","No")</f>
        <v/>
      </c>
    </row>
    <row r="32">
      <c r="A32" s="11" t="inlineStr">
        <is>
          <t>POAM-009</t>
        </is>
      </c>
      <c r="B32" s="11" t="inlineStr">
        <is>
          <t>M1</t>
        </is>
      </c>
      <c r="C32" s="12" t="inlineStr">
        <is>
          <t>Expand SIEM report scope to all privileged principals incl. IAM users</t>
        </is>
      </c>
      <c r="D32" s="13" t="n">
        <v>46255</v>
      </c>
      <c r="E32" s="11" t="inlineStr">
        <is>
          <t>Done</t>
        </is>
      </c>
      <c r="F32" s="13" t="n">
        <v>46248</v>
      </c>
      <c r="G32" s="11">
        <f>IF(AND(E32&lt;&gt;"Done",D32&lt;README!$B$4),"Yes","No")</f>
        <v/>
      </c>
    </row>
    <row r="33">
      <c r="A33" s="11" t="inlineStr">
        <is>
          <t>POAM-009</t>
        </is>
      </c>
      <c r="B33" s="11" t="inlineStr">
        <is>
          <t>M2</t>
        </is>
      </c>
      <c r="C33" s="12" t="inlineStr">
        <is>
          <t>Auto-create weekly review ticket with escalation to CISO at 5 business days</t>
        </is>
      </c>
      <c r="D33" s="13" t="n">
        <v>46262</v>
      </c>
      <c r="E33" s="11" t="inlineStr">
        <is>
          <t>Done</t>
        </is>
      </c>
      <c r="F33" s="13" t="n">
        <v>46262</v>
      </c>
      <c r="G33" s="11">
        <f>IF(AND(E33&lt;&gt;"Done",D33&lt;README!$B$4),"Yes","No")</f>
        <v/>
      </c>
    </row>
    <row r="34">
      <c r="A34" s="11" t="inlineStr">
        <is>
          <t>POAM-009</t>
        </is>
      </c>
      <c r="B34" s="11" t="inlineStr">
        <is>
          <t>M3</t>
        </is>
      </c>
      <c r="C34" s="12" t="inlineStr">
        <is>
          <t>Execute MDR SOW change for backup reviewer</t>
        </is>
      </c>
      <c r="D34" s="13" t="n">
        <v>46276</v>
      </c>
      <c r="E34" s="11" t="inlineStr">
        <is>
          <t>Delayed</t>
        </is>
      </c>
      <c r="F34" s="13" t="n"/>
      <c r="G34" s="11">
        <f>IF(AND(E34&lt;&gt;"Done",D34&lt;README!$B$4),"Yes","No")</f>
        <v/>
      </c>
    </row>
    <row r="35">
      <c r="A35" s="11" t="inlineStr">
        <is>
          <t>POAM-009</t>
        </is>
      </c>
      <c r="B35" s="11" t="inlineStr">
        <is>
          <t>M4</t>
        </is>
      </c>
      <c r="C35" s="12" t="inlineStr">
        <is>
          <t>Assessor validation: W27–W37 reviews (EVID-072)</t>
        </is>
      </c>
      <c r="D35" s="13" t="n">
        <v>46280</v>
      </c>
      <c r="E35" s="11" t="inlineStr">
        <is>
          <t>Not Started</t>
        </is>
      </c>
      <c r="F35" s="13" t="n"/>
      <c r="G35" s="11">
        <f>IF(AND(E35&lt;&gt;"Done",D35&lt;README!$B$4),"Yes","No")</f>
        <v/>
      </c>
    </row>
    <row r="36">
      <c r="A36" s="11" t="inlineStr">
        <is>
          <t>POAM-010</t>
        </is>
      </c>
      <c r="B36" s="11" t="inlineStr">
        <is>
          <t>M1</t>
        </is>
      </c>
      <c r="C36" s="12" t="inlineStr">
        <is>
          <t>Submit VM-003 §7 exception for 2 notify-worker criticals with reachability analysis (CISO decision)</t>
        </is>
      </c>
      <c r="D36" s="13" t="n">
        <v>46255</v>
      </c>
      <c r="E36" s="11" t="inlineStr">
        <is>
          <t>Done</t>
        </is>
      </c>
      <c r="F36" s="13" t="n">
        <v>46254</v>
      </c>
      <c r="G36" s="11">
        <f>IF(AND(E36&lt;&gt;"Done",D36&lt;README!$B$4),"Yes","No")</f>
        <v/>
      </c>
    </row>
    <row r="37">
      <c r="A37" s="11" t="inlineStr">
        <is>
          <t>POAM-010</t>
        </is>
      </c>
      <c r="B37" s="11" t="inlineStr">
        <is>
          <t>M2</t>
        </is>
      </c>
      <c r="C37" s="12" t="inlineStr">
        <is>
          <t>Upgrade notify-worker to supported Node.js LTS + current base image</t>
        </is>
      </c>
      <c r="D37" s="13" t="n">
        <v>46295</v>
      </c>
      <c r="E37" s="11" t="inlineStr">
        <is>
          <t>In Progress</t>
        </is>
      </c>
      <c r="F37" s="13" t="n"/>
      <c r="G37" s="11">
        <f>IF(AND(E37&lt;&gt;"Done",D37&lt;README!$B$4),"Yes","No")</f>
        <v/>
      </c>
    </row>
    <row r="38">
      <c r="A38" s="11" t="inlineStr">
        <is>
          <t>POAM-010</t>
        </is>
      </c>
      <c r="B38" s="11" t="inlineStr">
        <is>
          <t>M3</t>
        </is>
      </c>
      <c r="C38" s="12" t="inlineStr">
        <is>
          <t>SLA-breach dashboard reviewed in weekly engineering leads meeting</t>
        </is>
      </c>
      <c r="D38" s="13" t="n">
        <v>46280</v>
      </c>
      <c r="E38" s="11" t="inlineStr">
        <is>
          <t>Done</t>
        </is>
      </c>
      <c r="F38" s="13" t="n">
        <v>46274</v>
      </c>
      <c r="G38" s="11">
        <f>IF(AND(E38&lt;&gt;"Done",D38&lt;README!$B$4),"Yes","No")</f>
        <v/>
      </c>
    </row>
    <row r="39">
      <c r="A39" s="11" t="inlineStr">
        <is>
          <t>POAM-010</t>
        </is>
      </c>
      <c r="B39" s="11" t="inlineStr">
        <is>
          <t>M4</t>
        </is>
      </c>
      <c r="C39" s="12" t="inlineStr">
        <is>
          <t>Tag-policy SCP denying untagged EC2/EKS launches (OBS-02)</t>
        </is>
      </c>
      <c r="D39" s="13" t="n">
        <v>46310</v>
      </c>
      <c r="E39" s="11" t="inlineStr">
        <is>
          <t>Not Started</t>
        </is>
      </c>
      <c r="F39" s="13" t="n"/>
      <c r="G39" s="11">
        <f>IF(AND(E39&lt;&gt;"Done",D39&lt;README!$B$4),"Yes","No")</f>
        <v/>
      </c>
    </row>
    <row r="40">
      <c r="A40" s="11" t="inlineStr">
        <is>
          <t>POAM-010</t>
        </is>
      </c>
      <c r="B40" s="11" t="inlineStr">
        <is>
          <t>M5</t>
        </is>
      </c>
      <c r="C40" s="12" t="inlineStr">
        <is>
          <t>Assessor validation: re-run SLA test on Q3 population</t>
        </is>
      </c>
      <c r="D40" s="13" t="n">
        <v>46331</v>
      </c>
      <c r="E40" s="11" t="inlineStr">
        <is>
          <t>Not Started</t>
        </is>
      </c>
      <c r="F40" s="13" t="n"/>
      <c r="G40" s="11">
        <f>IF(AND(E40&lt;&gt;"Done",D40&lt;README!$B$4),"Yes","No")</f>
        <v/>
      </c>
    </row>
    <row r="41">
      <c r="A41" s="11" t="inlineStr">
        <is>
          <t>POAM-011</t>
        </is>
      </c>
      <c r="B41" s="11" t="inlineStr">
        <is>
          <t>M1</t>
        </is>
      </c>
      <c r="C41" s="12" t="inlineStr">
        <is>
          <t>Stand up managed transfer service (IaC) and test with Quarrystone</t>
        </is>
      </c>
      <c r="D41" s="13" t="n">
        <v>46262</v>
      </c>
      <c r="E41" s="11" t="inlineStr">
        <is>
          <t>Done</t>
        </is>
      </c>
      <c r="F41" s="13" t="n">
        <v>46260</v>
      </c>
      <c r="G41" s="11">
        <f>IF(AND(E41&lt;&gt;"Done",D41&lt;README!$B$4),"Yes","No")</f>
        <v/>
      </c>
    </row>
    <row r="42">
      <c r="A42" s="11" t="inlineStr">
        <is>
          <t>POAM-011</t>
        </is>
      </c>
      <c r="B42" s="11" t="inlineStr">
        <is>
          <t>M2</t>
        </is>
      </c>
      <c r="C42" s="12" t="inlineStr">
        <is>
          <t>Cut over Quarrystone + 4 customers; decommission wf-sftp-01</t>
        </is>
      </c>
      <c r="D42" s="13" t="n">
        <v>46280</v>
      </c>
      <c r="E42" s="11" t="inlineStr">
        <is>
          <t>Delayed</t>
        </is>
      </c>
      <c r="F42" s="13" t="n"/>
      <c r="G42" s="11">
        <f>IF(AND(E42&lt;&gt;"Done",D42&lt;README!$B$4),"Yes","No")</f>
        <v/>
      </c>
    </row>
    <row r="43">
      <c r="A43" s="11" t="inlineStr">
        <is>
          <t>POAM-011</t>
        </is>
      </c>
      <c r="B43" s="11" t="inlineStr">
        <is>
          <t>M3</t>
        </is>
      </c>
      <c r="C43" s="12" t="inlineStr">
        <is>
          <t>Migrate legacy-reports to Aurora read replica; decommission EC2 host</t>
        </is>
      </c>
      <c r="D43" s="13" t="n">
        <v>46325</v>
      </c>
      <c r="E43" s="11" t="inlineStr">
        <is>
          <t>In Progress</t>
        </is>
      </c>
      <c r="F43" s="13" t="n"/>
      <c r="G43" s="11">
        <f>IF(AND(E43&lt;&gt;"Done",D43&lt;README!$B$4),"Yes","No")</f>
        <v/>
      </c>
    </row>
    <row r="44">
      <c r="A44" s="11" t="inlineStr">
        <is>
          <t>POAM-011</t>
        </is>
      </c>
      <c r="B44" s="11" t="inlineStr">
        <is>
          <t>M4</t>
        </is>
      </c>
      <c r="C44" s="12" t="inlineStr">
        <is>
          <t>Assessor validation: inventory shows 0 unsupported components; hosts terminated</t>
        </is>
      </c>
      <c r="D44" s="13" t="n">
        <v>46371</v>
      </c>
      <c r="E44" s="11" t="inlineStr">
        <is>
          <t>Not Started</t>
        </is>
      </c>
      <c r="F44" s="13" t="n"/>
      <c r="G44" s="11">
        <f>IF(AND(E44&lt;&gt;"Done",D44&lt;README!$B$4),"Yes","No")</f>
        <v/>
      </c>
    </row>
    <row r="45">
      <c r="A45" s="11" t="inlineStr">
        <is>
          <t>POAM-012</t>
        </is>
      </c>
      <c r="B45" s="11" t="inlineStr">
        <is>
          <t>M1</t>
        </is>
      </c>
      <c r="C45" s="12" t="inlineStr">
        <is>
          <t>Remove 3389 ingress rule; confirm SSM-only admin (CHG-2026-0521); review Windows 4624 type-10 logons</t>
        </is>
      </c>
      <c r="D45" s="13" t="n">
        <v>46206</v>
      </c>
      <c r="E45" s="11" t="inlineStr">
        <is>
          <t>Done</t>
        </is>
      </c>
      <c r="F45" s="13" t="n">
        <v>46206</v>
      </c>
      <c r="G45" s="11">
        <f>IF(AND(E45&lt;&gt;"Done",D45&lt;README!$B$4),"Yes","No")</f>
        <v/>
      </c>
    </row>
    <row r="46">
      <c r="A46" s="11" t="inlineStr">
        <is>
          <t>POAM-012</t>
        </is>
      </c>
      <c r="B46" s="11" t="inlineStr">
        <is>
          <t>M2</t>
        </is>
      </c>
      <c r="C46" s="12" t="inlineStr">
        <is>
          <t>Route Security Hub High findings to SRE on-call queue</t>
        </is>
      </c>
      <c r="D46" s="13" t="n">
        <v>46211</v>
      </c>
      <c r="E46" s="11" t="inlineStr">
        <is>
          <t>Done</t>
        </is>
      </c>
      <c r="F46" s="13" t="n">
        <v>46210</v>
      </c>
      <c r="G46" s="11">
        <f>IF(AND(E46&lt;&gt;"Done",D46&lt;README!$B$4),"Yes","No")</f>
        <v/>
      </c>
    </row>
    <row r="47">
      <c r="A47" s="11" t="inlineStr">
        <is>
          <t>POAM-012</t>
        </is>
      </c>
      <c r="B47" s="11" t="inlineStr">
        <is>
          <t>M3</t>
        </is>
      </c>
      <c r="C47" s="12" t="inlineStr">
        <is>
          <t>Deploy SCP guardrail for admin ports from 0.0.0.0/0</t>
        </is>
      </c>
      <c r="D47" s="13" t="n">
        <v>46213</v>
      </c>
      <c r="E47" s="11" t="inlineStr">
        <is>
          <t>Done</t>
        </is>
      </c>
      <c r="F47" s="13" t="n">
        <v>46212</v>
      </c>
      <c r="G47" s="11">
        <f>IF(AND(E47&lt;&gt;"Done",D47&lt;README!$B$4),"Yes","No")</f>
        <v/>
      </c>
    </row>
    <row r="48">
      <c r="A48" s="11" t="inlineStr">
        <is>
          <t>POAM-012</t>
        </is>
      </c>
      <c r="B48" s="11" t="inlineStr">
        <is>
          <t>M4</t>
        </is>
      </c>
      <c r="C48" s="12" t="inlineStr">
        <is>
          <t>Assessor validation: SG export, Security Hub PASSED, guardrail test</t>
        </is>
      </c>
      <c r="D48" s="13" t="n">
        <v>46213</v>
      </c>
      <c r="E48" s="11" t="inlineStr">
        <is>
          <t>Done</t>
        </is>
      </c>
      <c r="F48" s="13" t="n">
        <v>46213</v>
      </c>
      <c r="G48" s="11">
        <f>IF(AND(E48&lt;&gt;"Done",D48&lt;README!$B$4),"Yes","No")</f>
        <v/>
      </c>
    </row>
    <row r="49">
      <c r="A49" s="11" t="inlineStr">
        <is>
          <t>POAM-013</t>
        </is>
      </c>
      <c r="B49" s="11" t="inlineStr">
        <is>
          <t>M1</t>
        </is>
      </c>
      <c r="C49" s="12" t="inlineStr">
        <is>
          <t>Write restore runbook and integrity-check queries</t>
        </is>
      </c>
      <c r="D49" s="13" t="n">
        <v>46255</v>
      </c>
      <c r="E49" s="11" t="inlineStr">
        <is>
          <t>Done</t>
        </is>
      </c>
      <c r="F49" s="13" t="n">
        <v>46253</v>
      </c>
      <c r="G49" s="11">
        <f>IF(AND(E49&lt;&gt;"Done",D49&lt;README!$B$4),"Yes","No")</f>
        <v/>
      </c>
    </row>
    <row r="50">
      <c r="A50" s="11" t="inlineStr">
        <is>
          <t>POAM-013</t>
        </is>
      </c>
      <c r="B50" s="11" t="inlineStr">
        <is>
          <t>M2</t>
        </is>
      </c>
      <c r="C50" s="12" t="inlineStr">
        <is>
          <t>Perform restore test (assessor observes)</t>
        </is>
      </c>
      <c r="D50" s="13" t="n">
        <v>46262</v>
      </c>
      <c r="E50" s="11" t="inlineStr">
        <is>
          <t>Done</t>
        </is>
      </c>
      <c r="F50" s="13" t="n">
        <v>46261</v>
      </c>
      <c r="G50" s="11">
        <f>IF(AND(E50&lt;&gt;"Done",D50&lt;README!$B$4),"Yes","No")</f>
        <v/>
      </c>
    </row>
    <row r="51">
      <c r="A51" s="11" t="inlineStr">
        <is>
          <t>POAM-013</t>
        </is>
      </c>
      <c r="B51" s="11" t="inlineStr">
        <is>
          <t>M3</t>
        </is>
      </c>
      <c r="C51" s="12" t="inlineStr">
        <is>
          <t>Add semi-annual restore test to BCP-003 calendar; assessor validation</t>
        </is>
      </c>
      <c r="D51" s="13" t="n">
        <v>46266</v>
      </c>
      <c r="E51" s="11" t="inlineStr">
        <is>
          <t>Done</t>
        </is>
      </c>
      <c r="F51" s="13" t="n">
        <v>46266</v>
      </c>
      <c r="G51" s="11">
        <f>IF(AND(E51&lt;&gt;"Done",D51&lt;README!$B$4),"Yes","No")</f>
        <v/>
      </c>
    </row>
    <row r="52">
      <c r="A52" s="11" t="inlineStr">
        <is>
          <t>POAM-014</t>
        </is>
      </c>
      <c r="B52" s="11" t="inlineStr">
        <is>
          <t>M1</t>
        </is>
      </c>
      <c r="C52" s="12" t="inlineStr">
        <is>
          <t>Update IRP-005: SHCA 24h notification step + current roster (OBS-03)</t>
        </is>
      </c>
      <c r="D52" s="13" t="n">
        <v>46280</v>
      </c>
      <c r="E52" s="11" t="inlineStr">
        <is>
          <t>Done</t>
        </is>
      </c>
      <c r="F52" s="13" t="n">
        <v>46276</v>
      </c>
      <c r="G52" s="11">
        <f>IF(AND(E52&lt;&gt;"Done",D52&lt;README!$B$4),"Yes","No")</f>
        <v/>
      </c>
    </row>
    <row r="53">
      <c r="A53" s="11" t="inlineStr">
        <is>
          <t>POAM-014</t>
        </is>
      </c>
      <c r="B53" s="11" t="inlineStr">
        <is>
          <t>M2</t>
        </is>
      </c>
      <c r="C53" s="12" t="inlineStr">
        <is>
          <t>Conduct ransomware tabletop (IR + CP)</t>
        </is>
      </c>
      <c r="D53" s="13" t="n">
        <v>46309</v>
      </c>
      <c r="E53" s="11" t="inlineStr">
        <is>
          <t>Not Started</t>
        </is>
      </c>
      <c r="F53" s="13" t="n"/>
      <c r="G53" s="11">
        <f>IF(AND(E53&lt;&gt;"Done",D53&lt;README!$B$4),"Yes","No")</f>
        <v/>
      </c>
    </row>
    <row r="54">
      <c r="A54" s="11" t="inlineStr">
        <is>
          <t>POAM-014</t>
        </is>
      </c>
      <c r="B54" s="11" t="inlineStr">
        <is>
          <t>M3</t>
        </is>
      </c>
      <c r="C54" s="12" t="inlineStr">
        <is>
          <t>Publish after-action report; add corrective actions to POA&amp;M</t>
        </is>
      </c>
      <c r="D54" s="13" t="n">
        <v>46325</v>
      </c>
      <c r="E54" s="11" t="inlineStr">
        <is>
          <t>Not Started</t>
        </is>
      </c>
      <c r="F54" s="13" t="n"/>
      <c r="G54" s="11">
        <f>IF(AND(E54&lt;&gt;"Done",D54&lt;README!$B$4),"Yes","No")</f>
        <v/>
      </c>
    </row>
    <row r="55">
      <c r="A55" s="11" t="inlineStr">
        <is>
          <t>POAM-014</t>
        </is>
      </c>
      <c r="B55" s="11" t="inlineStr">
        <is>
          <t>M4</t>
        </is>
      </c>
      <c r="C55" s="12" t="inlineStr">
        <is>
          <t>Assessor validation</t>
        </is>
      </c>
      <c r="D55" s="13" t="n">
        <v>46341</v>
      </c>
      <c r="E55" s="11" t="inlineStr">
        <is>
          <t>Not Started</t>
        </is>
      </c>
      <c r="F55" s="13" t="n"/>
      <c r="G55" s="11">
        <f>IF(AND(E55&lt;&gt;"Done",D55&lt;README!$B$4),"Yes","No")</f>
        <v/>
      </c>
    </row>
    <row r="56">
      <c r="A56" s="11" t="inlineStr">
        <is>
          <t>POAM-015</t>
        </is>
      </c>
      <c r="B56" s="11" t="inlineStr">
        <is>
          <t>M1</t>
        </is>
      </c>
      <c r="C56" s="12" t="inlineStr">
        <is>
          <t>Assess Tier 1 overdue vendors (Pulsewire, Ironpeak)</t>
        </is>
      </c>
      <c r="D56" s="13" t="n">
        <v>46356</v>
      </c>
      <c r="E56" s="11" t="inlineStr">
        <is>
          <t>In Progress</t>
        </is>
      </c>
      <c r="F56" s="13" t="n"/>
      <c r="G56" s="11">
        <f>IF(AND(E56&lt;&gt;"Done",D56&lt;README!$B$4),"Yes","No")</f>
        <v/>
      </c>
    </row>
    <row r="57">
      <c r="A57" s="11" t="inlineStr">
        <is>
          <t>POAM-015</t>
        </is>
      </c>
      <c r="B57" s="11" t="inlineStr">
        <is>
          <t>M2</t>
        </is>
      </c>
      <c r="C57" s="12" t="inlineStr">
        <is>
          <t>Fourth-party inventory from updated questionnaires (all Tier 1)</t>
        </is>
      </c>
      <c r="D57" s="13" t="n">
        <v>46371</v>
      </c>
      <c r="E57" s="11" t="inlineStr">
        <is>
          <t>Not Started</t>
        </is>
      </c>
      <c r="F57" s="13" t="n"/>
      <c r="G57" s="11">
        <f>IF(AND(E57&lt;&gt;"Done",D57&lt;README!$B$4),"Yes","No")</f>
        <v/>
      </c>
    </row>
    <row r="58">
      <c r="A58" s="11" t="inlineStr">
        <is>
          <t>POAM-015</t>
        </is>
      </c>
      <c r="B58" s="11" t="inlineStr">
        <is>
          <t>M3</t>
        </is>
      </c>
      <c r="C58" s="12" t="inlineStr">
        <is>
          <t>Approve C-SCRM plan</t>
        </is>
      </c>
      <c r="D58" s="13" t="n">
        <v>46402</v>
      </c>
      <c r="E58" s="11" t="inlineStr">
        <is>
          <t>Not Started</t>
        </is>
      </c>
      <c r="F58" s="13" t="n"/>
      <c r="G58" s="11">
        <f>IF(AND(E58&lt;&gt;"Done",D58&lt;README!$B$4),"Yes","No")</f>
        <v/>
      </c>
    </row>
    <row r="59">
      <c r="A59" s="11" t="inlineStr">
        <is>
          <t>POAM-015</t>
        </is>
      </c>
      <c r="B59" s="11" t="inlineStr">
        <is>
          <t>M4</t>
        </is>
      </c>
      <c r="C59" s="12" t="inlineStr">
        <is>
          <t>Assess remaining Tier 2 overdue vendors; assessor validation</t>
        </is>
      </c>
      <c r="D59" s="13" t="n">
        <v>46421</v>
      </c>
      <c r="E59" s="11" t="inlineStr">
        <is>
          <t>Not Started</t>
        </is>
      </c>
      <c r="F59" s="13" t="n"/>
      <c r="G59" s="11">
        <f>IF(AND(E59&lt;&gt;"Done",D59&lt;README!$B$4),"Yes","No")</f>
        <v/>
      </c>
    </row>
    <row r="60">
      <c r="A60" s="11" t="inlineStr">
        <is>
          <t>POAM-016</t>
        </is>
      </c>
      <c r="B60" s="11" t="inlineStr">
        <is>
          <t>M1</t>
        </is>
      </c>
      <c r="C60" s="12" t="inlineStr">
        <is>
          <t>Interim: vendor suspends offshore access to Wrenfield data (letter)</t>
        </is>
      </c>
      <c r="D60" s="13" t="n">
        <v>46227</v>
      </c>
      <c r="E60" s="11" t="inlineStr">
        <is>
          <t>Done</t>
        </is>
      </c>
      <c r="F60" s="13" t="n">
        <v>46227</v>
      </c>
      <c r="G60" s="11">
        <f>IF(AND(E60&lt;&gt;"Done",D60&lt;README!$B$4),"Yes","No")</f>
        <v/>
      </c>
    </row>
    <row r="61">
      <c r="A61" s="11" t="inlineStr">
        <is>
          <t>POAM-016</t>
        </is>
      </c>
      <c r="B61" s="11" t="inlineStr">
        <is>
          <t>M2</t>
        </is>
      </c>
      <c r="C61" s="12" t="inlineStr">
        <is>
          <t>Execute contract amendment (redline v3 in negotiation)</t>
        </is>
      </c>
      <c r="D61" s="13" t="n">
        <v>46295</v>
      </c>
      <c r="E61" s="11" t="inlineStr">
        <is>
          <t>In Progress</t>
        </is>
      </c>
      <c r="F61" s="13" t="n"/>
      <c r="G61" s="11">
        <f>IF(AND(E61&lt;&gt;"Done",D61&lt;README!$B$4),"Yes","No")</f>
        <v/>
      </c>
    </row>
    <row r="62">
      <c r="A62" s="11" t="inlineStr">
        <is>
          <t>POAM-016</t>
        </is>
      </c>
      <c r="B62" s="11" t="inlineStr">
        <is>
          <t>M3</t>
        </is>
      </c>
      <c r="C62" s="12" t="inlineStr">
        <is>
          <t>Deploy minimized, tokenized extract (drop address, phone, email, free text)</t>
        </is>
      </c>
      <c r="D62" s="13" t="n">
        <v>46311</v>
      </c>
      <c r="E62" s="11" t="inlineStr">
        <is>
          <t>In Progress</t>
        </is>
      </c>
      <c r="F62" s="13" t="n"/>
      <c r="G62" s="11">
        <f>IF(AND(E62&lt;&gt;"Done",D62&lt;README!$B$4),"Yes","No")</f>
        <v/>
      </c>
    </row>
    <row r="63">
      <c r="A63" s="11" t="inlineStr">
        <is>
          <t>POAM-016</t>
        </is>
      </c>
      <c r="B63" s="11" t="inlineStr">
        <is>
          <t>M4</t>
        </is>
      </c>
      <c r="C63" s="12" t="inlineStr">
        <is>
          <t>Receive current pentest report + retest letter (EVID-051)</t>
        </is>
      </c>
      <c r="D63" s="13" t="n">
        <v>46325</v>
      </c>
      <c r="E63" s="11" t="inlineStr">
        <is>
          <t>Not Started</t>
        </is>
      </c>
      <c r="F63" s="13" t="n"/>
      <c r="G63" s="11">
        <f>IF(AND(E63&lt;&gt;"Done",D63&lt;README!$B$4),"Yes","No")</f>
        <v/>
      </c>
    </row>
    <row r="64">
      <c r="A64" s="11" t="inlineStr">
        <is>
          <t>POAM-016</t>
        </is>
      </c>
      <c r="B64" s="11" t="inlineStr">
        <is>
          <t>M5</t>
        </is>
      </c>
      <c r="C64" s="12" t="inlineStr">
        <is>
          <t>Assessor validation + vendor risk re-score</t>
        </is>
      </c>
      <c r="D64" s="13" t="n">
        <v>46331</v>
      </c>
      <c r="E64" s="11" t="inlineStr">
        <is>
          <t>Not Started</t>
        </is>
      </c>
      <c r="F64" s="13" t="n"/>
      <c r="G64" s="11">
        <f>IF(AND(E64&lt;&gt;"Done",D64&lt;README!$B$4),"Yes","No")</f>
        <v/>
      </c>
    </row>
    <row r="65">
      <c r="A65" s="11" t="inlineStr">
        <is>
          <t>POAM-017</t>
        </is>
      </c>
      <c r="B65" s="11" t="inlineStr">
        <is>
          <t>M1</t>
        </is>
      </c>
      <c r="C65" s="12" t="inlineStr">
        <is>
          <t>SSP outline on SP 800-18r2 structure; boundary + data flows updated</t>
        </is>
      </c>
      <c r="D65" s="13" t="n">
        <v>46295</v>
      </c>
      <c r="E65" s="11" t="inlineStr">
        <is>
          <t>In Progress</t>
        </is>
      </c>
      <c r="F65" s="13" t="n"/>
      <c r="G65" s="11">
        <f>IF(AND(E65&lt;&gt;"Done",D65&lt;README!$B$4),"Yes","No")</f>
        <v/>
      </c>
    </row>
    <row r="66">
      <c r="A66" s="11" t="inlineStr">
        <is>
          <t>POAM-017</t>
        </is>
      </c>
      <c r="B66" s="11" t="inlineStr">
        <is>
          <t>M2</t>
        </is>
      </c>
      <c r="C66" s="12" t="inlineStr">
        <is>
          <t>Control implementation statements (61 controls) reviewed by owners</t>
        </is>
      </c>
      <c r="D66" s="13" t="n">
        <v>46356</v>
      </c>
      <c r="E66" s="11" t="inlineStr">
        <is>
          <t>Not Started</t>
        </is>
      </c>
      <c r="F66" s="13" t="n"/>
      <c r="G66" s="11">
        <f>IF(AND(E66&lt;&gt;"Done",D66&lt;README!$B$4),"Yes","No")</f>
        <v/>
      </c>
    </row>
    <row r="67">
      <c r="A67" s="11" t="inlineStr">
        <is>
          <t>POAM-017</t>
        </is>
      </c>
      <c r="B67" s="11" t="inlineStr">
        <is>
          <t>M3</t>
        </is>
      </c>
      <c r="C67" s="12" t="inlineStr">
        <is>
          <t>Approval by CTO (system owner); assessor validation</t>
        </is>
      </c>
      <c r="D67" s="13" t="n">
        <v>46371</v>
      </c>
      <c r="E67" s="11" t="inlineStr">
        <is>
          <t>Not Started</t>
        </is>
      </c>
      <c r="F67" s="13" t="n"/>
      <c r="G67" s="11">
        <f>IF(AND(E67&lt;&gt;"Done",D67&lt;README!$B$4),"Yes","No")</f>
        <v/>
      </c>
    </row>
    <row r="68">
      <c r="A68" s="11" t="inlineStr">
        <is>
          <t>POAM-018</t>
        </is>
      </c>
      <c r="B68" s="11" t="inlineStr">
        <is>
          <t>M1</t>
        </is>
      </c>
      <c r="C68" s="12" t="inlineStr">
        <is>
          <t>Retro-approval task automation for emergency changes</t>
        </is>
      </c>
      <c r="D68" s="13" t="n">
        <v>46262</v>
      </c>
      <c r="E68" s="11" t="inlineStr">
        <is>
          <t>Done</t>
        </is>
      </c>
      <c r="F68" s="13" t="n">
        <v>46262</v>
      </c>
      <c r="G68" s="11">
        <f>IF(AND(E68&lt;&gt;"Done",D68&lt;README!$B$4),"Yes","No")</f>
        <v/>
      </c>
    </row>
    <row r="69">
      <c r="A69" s="11" t="inlineStr">
        <is>
          <t>POAM-018</t>
        </is>
      </c>
      <c r="B69" s="11" t="inlineStr">
        <is>
          <t>M2</t>
        </is>
      </c>
      <c r="C69" s="12" t="inlineStr">
        <is>
          <t>EventBridge alerts on console SG/IAM changes to on-call</t>
        </is>
      </c>
      <c r="D69" s="13" t="n">
        <v>46269</v>
      </c>
      <c r="E69" s="11" t="inlineStr">
        <is>
          <t>Not Started</t>
        </is>
      </c>
      <c r="F69" s="13" t="n"/>
      <c r="G69" s="11">
        <f>IF(AND(E69&lt;&gt;"Done",D69&lt;README!$B$4),"Yes","No")</f>
        <v/>
      </c>
    </row>
    <row r="70">
      <c r="A70" s="11" t="inlineStr">
        <is>
          <t>POAM-018</t>
        </is>
      </c>
      <c r="B70" s="11" t="inlineStr">
        <is>
          <t>M3</t>
        </is>
      </c>
      <c r="C70" s="12" t="inlineStr">
        <is>
          <t>Assessor validation: sample of emergency changes since M1 + alert test</t>
        </is>
      </c>
      <c r="D70" s="13" t="n">
        <v>46276</v>
      </c>
      <c r="E70" s="11" t="inlineStr">
        <is>
          <t>Not Started</t>
        </is>
      </c>
      <c r="F70" s="13" t="n"/>
      <c r="G70" s="11">
        <f>IF(AND(E70&lt;&gt;"Done",D70&lt;README!$B$4),"Yes","No")</f>
        <v/>
      </c>
    </row>
    <row r="71">
      <c r="A71" s="11" t="inlineStr">
        <is>
          <t>POAM-019</t>
        </is>
      </c>
      <c r="B71" s="11" t="inlineStr">
        <is>
          <t>M1</t>
        </is>
      </c>
      <c r="C71" s="12" t="inlineStr">
        <is>
          <t>Manager escalation at 14 days; enforcement group rule live</t>
        </is>
      </c>
      <c r="D71" s="13" t="n">
        <v>46255</v>
      </c>
      <c r="E71" s="11" t="inlineStr">
        <is>
          <t>Done</t>
        </is>
      </c>
      <c r="F71" s="13" t="n">
        <v>46254</v>
      </c>
      <c r="G71" s="11">
        <f>IF(AND(E71&lt;&gt;"Done",D71&lt;README!$B$4),"Yes","No")</f>
        <v/>
      </c>
    </row>
    <row r="72">
      <c r="A72" s="11" t="inlineStr">
        <is>
          <t>POAM-019</t>
        </is>
      </c>
      <c r="B72" s="11" t="inlineStr">
        <is>
          <t>M2</t>
        </is>
      </c>
      <c r="C72" s="12" t="inlineStr">
        <is>
          <t>Reach &gt;= 99% (documented leave exceptions)</t>
        </is>
      </c>
      <c r="D72" s="13" t="n">
        <v>46280</v>
      </c>
      <c r="E72" s="11" t="inlineStr">
        <is>
          <t>Done</t>
        </is>
      </c>
      <c r="F72" s="13" t="n">
        <v>46277</v>
      </c>
      <c r="G72" s="11">
        <f>IF(AND(E72&lt;&gt;"Done",D72&lt;README!$B$4),"Yes","No")</f>
        <v/>
      </c>
    </row>
    <row r="73">
      <c r="A73" s="11" t="inlineStr">
        <is>
          <t>POAM-019</t>
        </is>
      </c>
      <c r="B73" s="11" t="inlineStr">
        <is>
          <t>M3</t>
        </is>
      </c>
      <c r="C73" s="12" t="inlineStr">
        <is>
          <t>Assessor validation of EVID-070 (leave records for 3 exceptions)</t>
        </is>
      </c>
      <c r="D73" s="13" t="n">
        <v>46295</v>
      </c>
      <c r="E73" s="11" t="inlineStr">
        <is>
          <t>In Progress</t>
        </is>
      </c>
      <c r="F73" s="13" t="n"/>
      <c r="G73" s="11">
        <f>IF(AND(E73&lt;&gt;"Done",D73&lt;README!$B$4),"Yes","No")</f>
        <v/>
      </c>
    </row>
  </sheetData>
  <autoFilter ref="A1:G73"/>
  <conditionalFormatting sqref="G2:G273">
    <cfRule type="expression" priority="1" dxfId="4">
      <formula>G2="Satisfied"</formula>
    </cfRule>
    <cfRule type="expression" priority="2" dxfId="5">
      <formula>G2="Other Than Satisfied"</formula>
    </cfRule>
    <cfRule type="expression" priority="3" dxfId="4">
      <formula>G2="Closed"</formula>
    </cfRule>
    <cfRule type="expression" priority="4" dxfId="4">
      <formula>G2="Accepted"</formula>
    </cfRule>
    <cfRule type="expression" priority="5" dxfId="6">
      <formula>G2="Risk Accepted"</formula>
    </cfRule>
    <cfRule type="expression" priority="6" dxfId="5">
      <formula>G2="Overdue"</formula>
    </cfRule>
    <cfRule type="expression" priority="7" dxfId="5">
      <formula>G2="Yes"</formula>
    </cfRule>
    <cfRule type="expression" priority="8" dxfId="5">
      <formula>G2="Insufficient"</formula>
    </cfRule>
    <cfRule type="expression" priority="9" dxfId="7">
      <formula>G2="Rework Required"</formula>
    </cfRule>
    <cfRule type="expression" priority="10" dxfId="7">
      <formula>G2="Delayed"</formula>
    </cfRule>
  </conditionalFormatting>
  <dataValidations count="1">
    <dataValidation sqref="E2:E273" showDropDown="0" showInputMessage="0" showErrorMessage="1" allowBlank="1" errorTitle="Controlled value" error="Choose a value from the list (controlled vocabulary)." type="list">
      <formula1>"Not Started,In Progress,Delayed,Done"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2" customWidth="1" min="3" max="3"/>
    <col width="40" customWidth="1" min="4" max="4"/>
    <col width="16" customWidth="1" min="5" max="5"/>
    <col width="16" customWidth="1" min="6" max="6"/>
    <col width="16" customWidth="1" min="7" max="7"/>
    <col width="16" customWidth="1" min="8" max="8"/>
    <col width="16" customWidth="1" min="9" max="9"/>
    <col width="16" customWidth="1" min="10" max="10"/>
    <col width="44" customWidth="1" min="11" max="11"/>
    <col width="16" customWidth="1" min="12" max="12"/>
    <col width="16" customWidth="1" min="13" max="13"/>
    <col width="44" customWidth="1" min="14" max="14"/>
    <col width="16" customWidth="1" min="15" max="15"/>
    <col width="16" customWidth="1" min="16" max="16"/>
    <col width="28" customWidth="1" min="17" max="17"/>
    <col width="28" customWidth="1" min="18" max="18"/>
    <col width="16" customWidth="1" min="19" max="19"/>
    <col width="36" customWidth="1" min="20" max="20"/>
  </cols>
  <sheetData>
    <row r="1" ht="32" customHeight="1">
      <c r="A1" s="10" t="inlineStr">
        <is>
          <t>Evidence ID</t>
        </is>
      </c>
      <c r="B1" s="10" t="inlineStr">
        <is>
          <t>Control ID</t>
        </is>
      </c>
      <c r="C1" s="10" t="inlineStr">
        <is>
          <t>Evidence Request</t>
        </is>
      </c>
      <c r="D1" s="10" t="inlineStr">
        <is>
          <t>Artifact Description</t>
        </is>
      </c>
      <c r="E1" s="10" t="inlineStr">
        <is>
          <t>Evidence Owner</t>
        </is>
      </c>
      <c r="F1" s="10" t="inlineStr">
        <is>
          <t>Request Date</t>
        </is>
      </c>
      <c r="G1" s="10" t="inlineStr">
        <is>
          <t>Due Date</t>
        </is>
      </c>
      <c r="H1" s="10" t="inlineStr">
        <is>
          <t>Received Date</t>
        </is>
      </c>
      <c r="I1" s="10" t="inlineStr">
        <is>
          <t>Status</t>
        </is>
      </c>
      <c r="J1" s="10" t="inlineStr">
        <is>
          <t>Evidence Period</t>
        </is>
      </c>
      <c r="K1" s="10" t="inlineStr">
        <is>
          <t>File / Repository Location</t>
        </is>
      </c>
      <c r="L1" s="10" t="inlineStr">
        <is>
          <t>In Repo?</t>
        </is>
      </c>
      <c r="M1" s="10" t="inlineStr">
        <is>
          <t>Reviewer</t>
        </is>
      </c>
      <c r="N1" s="10" t="inlineStr">
        <is>
          <t>Review Result</t>
        </is>
      </c>
      <c r="O1" s="10" t="inlineStr">
        <is>
          <t>Evidence Level</t>
        </is>
      </c>
      <c r="P1" s="10" t="inlineStr">
        <is>
          <t>Sufficiency</t>
        </is>
      </c>
      <c r="Q1" s="10" t="inlineStr">
        <is>
          <t>Exception</t>
        </is>
      </c>
      <c r="R1" s="10" t="inlineStr">
        <is>
          <t>Follow-Up Required</t>
        </is>
      </c>
      <c r="S1" s="10" t="inlineStr">
        <is>
          <t>Days Late</t>
        </is>
      </c>
      <c r="T1" s="10" t="inlineStr">
        <is>
          <t>Notes</t>
        </is>
      </c>
    </row>
    <row r="2">
      <c r="A2" s="11" t="inlineStr">
        <is>
          <t>EVID-001</t>
        </is>
      </c>
      <c r="B2" s="11" t="inlineStr">
        <is>
          <t>AC-1</t>
        </is>
      </c>
      <c r="C2" s="12" t="inlineStr">
        <is>
          <t>Current Access Control Policy with approval record and review history</t>
        </is>
      </c>
      <c r="D2" s="12" t="inlineStr">
        <is>
          <t>ACP-002 Access Control Policy v3.1 (PDF) + approval minutes 2025-01-15</t>
        </is>
      </c>
      <c r="E2" s="11" t="inlineStr">
        <is>
          <t>Alicia Moreno</t>
        </is>
      </c>
      <c r="F2" s="13" t="n">
        <v>46183</v>
      </c>
      <c r="G2" s="13" t="n">
        <v>46192</v>
      </c>
      <c r="H2" s="13" t="n">
        <v>46185</v>
      </c>
      <c r="I2" s="11" t="inlineStr">
        <is>
          <t>Accepted</t>
        </is>
      </c>
      <c r="J2" s="11" t="inlineStr">
        <is>
          <t>Current version</t>
        </is>
      </c>
      <c r="K2" s="12" t="inlineStr">
        <is>
          <t>GRC-Vault:/WCP-2026/AC/EVID-001_ACP-002_v3.1.pdf</t>
        </is>
      </c>
      <c r="L2" s="11" t="inlineStr">
        <is>
          <t>No</t>
        </is>
      </c>
      <c r="M2" s="11" t="inlineStr">
        <is>
          <t>Lead assessor</t>
        </is>
      </c>
      <c r="N2" s="12" t="inlineStr">
        <is>
          <t>Content adequate; last approval 2025-01-15 exceeds the annual review cycle</t>
        </is>
      </c>
      <c r="O2" s="11" t="inlineStr">
        <is>
          <t>Design</t>
        </is>
      </c>
      <c r="P2" s="11" t="inlineStr">
        <is>
          <t>Sufficient</t>
        </is>
      </c>
      <c r="Q2" s="12" t="inlineStr"/>
      <c r="R2" s="12" t="inlineStr">
        <is>
          <t>No</t>
        </is>
      </c>
      <c r="S2" s="11">
        <f>IF(H2="",MAX(0,README!$B$4-G2),MAX(0,H2-G2))</f>
        <v/>
      </c>
      <c r="T2" s="12" t="inlineStr">
        <is>
          <t>Drives OBS-01. Policy existence alone did not satisfy AC-2 or AC-6</t>
        </is>
      </c>
    </row>
    <row r="3">
      <c r="A3" s="11" t="inlineStr">
        <is>
          <t>EVID-002</t>
        </is>
      </c>
      <c r="B3" s="11" t="inlineStr">
        <is>
          <t>AC-2; AC-2(3); PS-4; PS-5</t>
        </is>
      </c>
      <c r="C3" s="12" t="inlineStr">
        <is>
          <t>Joiner/mover/leaver procedure</t>
        </is>
      </c>
      <c r="D3" s="12" t="inlineStr">
        <is>
          <t>SOP-IAM-02 Account Lifecycle v2.0</t>
        </is>
      </c>
      <c r="E3" s="11" t="inlineStr">
        <is>
          <t>Nadia Rahman</t>
        </is>
      </c>
      <c r="F3" s="13" t="n">
        <v>46183</v>
      </c>
      <c r="G3" s="13" t="n">
        <v>46192</v>
      </c>
      <c r="H3" s="13" t="n">
        <v>46185</v>
      </c>
      <c r="I3" s="11" t="inlineStr">
        <is>
          <t>Accepted</t>
        </is>
      </c>
      <c r="J3" s="11" t="inlineStr">
        <is>
          <t>Current version</t>
        </is>
      </c>
      <c r="K3" s="12" t="inlineStr">
        <is>
          <t>GRC-Vault:/WCP-2026/AC/EVID-002_SOP-IAM-02_v2.0.pdf</t>
        </is>
      </c>
      <c r="L3" s="11" t="inlineStr">
        <is>
          <t>No</t>
        </is>
      </c>
      <c r="M3" s="11" t="inlineStr">
        <is>
          <t>Lead assessor</t>
        </is>
      </c>
      <c r="N3" s="12" t="inlineStr">
        <is>
          <t>Describes a manual HR-email to IT-ticket flow; no step for local accounts or transfers</t>
        </is>
      </c>
      <c r="O3" s="11" t="inlineStr">
        <is>
          <t>Design</t>
        </is>
      </c>
      <c r="P3" s="11" t="inlineStr">
        <is>
          <t>Sufficient</t>
        </is>
      </c>
      <c r="Q3" s="12" t="inlineStr"/>
      <c r="R3" s="12" t="inlineStr">
        <is>
          <t>No</t>
        </is>
      </c>
      <c r="S3" s="11">
        <f>IF(H3="",MAX(0,README!$B$4-G3),MAX(0,H3-G3))</f>
        <v/>
      </c>
      <c r="T3" s="12" t="inlineStr">
        <is>
          <t>Design gap is visible in the procedure itself</t>
        </is>
      </c>
    </row>
    <row r="4">
      <c r="A4" s="11" t="inlineStr">
        <is>
          <t>EVID-003</t>
        </is>
      </c>
      <c r="B4" s="11" t="inlineStr">
        <is>
          <t>AC-2(3); PS-4</t>
        </is>
      </c>
      <c r="C4" s="12" t="inlineStr">
        <is>
          <t>System-generated list of ALL terminations 2026-01-01 to 2026-06-30 (worker ID, type, date, effective time)</t>
        </is>
      </c>
      <c r="D4" s="12" t="inlineStr">
        <is>
          <t>PeopleHub report 'Terminations by Effective Date' + final-pay reconciliation</t>
        </is>
      </c>
      <c r="E4" s="11" t="inlineStr">
        <is>
          <t>Denise Yamamoto</t>
        </is>
      </c>
      <c r="F4" s="13" t="n">
        <v>46183</v>
      </c>
      <c r="G4" s="13" t="n">
        <v>46192</v>
      </c>
      <c r="H4" s="13" t="n">
        <v>46190</v>
      </c>
      <c r="I4" s="11" t="inlineStr">
        <is>
          <t>Accepted</t>
        </is>
      </c>
      <c r="J4" s="11" t="inlineStr">
        <is>
          <t>2026-01-01 to 2026-06-30</t>
        </is>
      </c>
      <c r="K4" s="12" t="inlineStr">
        <is>
          <t>evidence/AC/EVID-003_peoplehub-terminations-2026H1.csv</t>
        </is>
      </c>
      <c r="L4" s="11" t="inlineStr">
        <is>
          <t>Yes</t>
        </is>
      </c>
      <c r="M4" s="11" t="inlineStr">
        <is>
          <t>Lead assessor</t>
        </is>
      </c>
      <c r="N4" s="12" t="inlineStr">
        <is>
          <t>IPE validated: 19 of 19 reconciled to final pay/invoice</t>
        </is>
      </c>
      <c r="O4" s="11" t="inlineStr">
        <is>
          <t>Operating Effectiveness</t>
        </is>
      </c>
      <c r="P4" s="11" t="inlineStr">
        <is>
          <t>Sufficient</t>
        </is>
      </c>
      <c r="Q4" s="12" t="inlineStr"/>
      <c r="R4" s="12" t="inlineStr">
        <is>
          <t>No</t>
        </is>
      </c>
      <c r="S4" s="11">
        <f>IF(H4="",MAX(0,README!$B$4-G4),MAX(0,H4-G4))</f>
        <v/>
      </c>
      <c r="T4" s="12" t="inlineStr">
        <is>
          <t>Assessor observed report generation over screen share</t>
        </is>
      </c>
    </row>
    <row r="5">
      <c r="A5" s="11" t="inlineStr">
        <is>
          <t>EVID-004</t>
        </is>
      </c>
      <c r="B5" s="11" t="inlineStr">
        <is>
          <t>AC-2(3)</t>
        </is>
      </c>
      <c r="C5" s="12" t="inlineStr">
        <is>
          <t>Okta System Log export of user.lifecycle.deactivate events for the period</t>
        </is>
      </c>
      <c r="D5" s="12" t="inlineStr">
        <is>
          <t>Okta System Log API export</t>
        </is>
      </c>
      <c r="E5" s="11" t="inlineStr">
        <is>
          <t>Nadia Rahman</t>
        </is>
      </c>
      <c r="F5" s="13" t="n">
        <v>46183</v>
      </c>
      <c r="G5" s="13" t="n">
        <v>46192</v>
      </c>
      <c r="H5" s="13" t="n">
        <v>46190</v>
      </c>
      <c r="I5" s="11" t="inlineStr">
        <is>
          <t>Accepted</t>
        </is>
      </c>
      <c r="J5" s="11" t="inlineStr">
        <is>
          <t>2026-01-01 to 2026-06-30</t>
        </is>
      </c>
      <c r="K5" s="12" t="inlineStr">
        <is>
          <t>evidence/AC/EVID-004_okta-deactivation-events-2026H1.csv</t>
        </is>
      </c>
      <c r="L5" s="11" t="inlineStr">
        <is>
          <t>Yes</t>
        </is>
      </c>
      <c r="M5" s="11" t="inlineStr">
        <is>
          <t>Lead assessor</t>
        </is>
      </c>
      <c r="N5" s="12" t="inlineStr">
        <is>
          <t>17 events; matched to EVID-003</t>
        </is>
      </c>
      <c r="O5" s="11" t="inlineStr">
        <is>
          <t>Operating Effectiveness</t>
        </is>
      </c>
      <c r="P5" s="11" t="inlineStr">
        <is>
          <t>Sufficient</t>
        </is>
      </c>
      <c r="Q5" s="12" t="inlineStr"/>
      <c r="R5" s="12" t="inlineStr">
        <is>
          <t>No</t>
        </is>
      </c>
      <c r="S5" s="11">
        <f>IF(H5="",MAX(0,README!$B$4-G5),MAX(0,H5-G5))</f>
        <v/>
      </c>
      <c r="T5" s="12" t="inlineStr"/>
    </row>
    <row r="6">
      <c r="A6" s="11" t="inlineStr">
        <is>
          <t>EVID-005</t>
        </is>
      </c>
      <c r="B6" s="11" t="inlineStr">
        <is>
          <t>AC-2; AC-2(1); IA-2; AC-6(2)</t>
        </is>
      </c>
      <c r="C6" s="12" t="inlineStr">
        <is>
          <t>Okta user export (all statuses) with MFA enrollment and group membership as of 2026-06-30</t>
        </is>
      </c>
      <c r="D6" s="12" t="inlineStr">
        <is>
          <t>Okta Users API export</t>
        </is>
      </c>
      <c r="E6" s="11" t="inlineStr">
        <is>
          <t>Nadia Rahman</t>
        </is>
      </c>
      <c r="F6" s="13" t="n">
        <v>46183</v>
      </c>
      <c r="G6" s="13" t="n">
        <v>46192</v>
      </c>
      <c r="H6" s="13" t="n">
        <v>46204</v>
      </c>
      <c r="I6" s="11" t="inlineStr">
        <is>
          <t>Accepted</t>
        </is>
      </c>
      <c r="J6" s="11" t="inlineStr">
        <is>
          <t>As of 2026-06-30</t>
        </is>
      </c>
      <c r="K6" s="12" t="inlineStr">
        <is>
          <t>access-review/source-exports/okta_users.csv</t>
        </is>
      </c>
      <c r="L6" s="11" t="inlineStr">
        <is>
          <t>Yes</t>
        </is>
      </c>
      <c r="M6" s="11" t="inlineStr">
        <is>
          <t>Lead assessor</t>
        </is>
      </c>
      <c r="N6" s="12" t="inlineStr">
        <is>
          <t>Complete for in-scope population; account types verified</t>
        </is>
      </c>
      <c r="O6" s="11" t="inlineStr">
        <is>
          <t>Implementation</t>
        </is>
      </c>
      <c r="P6" s="11" t="inlineStr">
        <is>
          <t>Sufficient</t>
        </is>
      </c>
      <c r="Q6" s="12" t="inlineStr"/>
      <c r="R6" s="12" t="inlineStr">
        <is>
          <t>No</t>
        </is>
      </c>
      <c r="S6" s="11">
        <f>IF(H6="",MAX(0,README!$B$4-G6),MAX(0,H6-G6))</f>
        <v/>
      </c>
      <c r="T6" s="12" t="inlineStr"/>
    </row>
    <row r="7">
      <c r="A7" s="11" t="inlineStr">
        <is>
          <t>EVID-006</t>
        </is>
      </c>
      <c r="B7" s="11" t="inlineStr">
        <is>
          <t>AC-2; AC-6; AC-6(5)</t>
        </is>
      </c>
      <c r="C7" s="12" t="inlineStr">
        <is>
          <t>Entitlement exports from each in-scope system as of 2026-06-30</t>
        </is>
      </c>
      <c r="D7" s="12" t="inlineStr">
        <is>
          <t>Exports from AWS IAM Identity Center/IAM, GitHub, Aurora roles, wf-sftp-01, PeopleHub, Ledgerline, SIEM, EDR, Quarrystone portal</t>
        </is>
      </c>
      <c r="E7" s="11" t="inlineStr">
        <is>
          <t>System owners (9 systems)</t>
        </is>
      </c>
      <c r="F7" s="13" t="n">
        <v>46183</v>
      </c>
      <c r="G7" s="13" t="n">
        <v>46204</v>
      </c>
      <c r="H7" s="13" t="n">
        <v>46206</v>
      </c>
      <c r="I7" s="11" t="inlineStr">
        <is>
          <t>Accepted</t>
        </is>
      </c>
      <c r="J7" s="11" t="inlineStr">
        <is>
          <t>As of 2026-06-30</t>
        </is>
      </c>
      <c r="K7" s="12" t="inlineStr">
        <is>
          <t>access-review/source-exports/entitlements.csv</t>
        </is>
      </c>
      <c r="L7" s="11" t="inlineStr">
        <is>
          <t>Yes</t>
        </is>
      </c>
      <c r="M7" s="11" t="inlineStr">
        <is>
          <t>Lead assessor</t>
        </is>
      </c>
      <c r="N7" s="12" t="inlineStr">
        <is>
          <t>106 entitlements; 2 exports re-pulled after column omissions (Ledgerline, portal)</t>
        </is>
      </c>
      <c r="O7" s="11" t="inlineStr">
        <is>
          <t>Implementation</t>
        </is>
      </c>
      <c r="P7" s="11" t="inlineStr">
        <is>
          <t>Sufficient</t>
        </is>
      </c>
      <c r="Q7" s="12" t="inlineStr"/>
      <c r="R7" s="12" t="inlineStr">
        <is>
          <t>No</t>
        </is>
      </c>
      <c r="S7" s="11">
        <f>IF(H7="",MAX(0,README!$B$4-G7),MAX(0,H7-G7))</f>
        <v/>
      </c>
      <c r="T7" s="12" t="inlineStr">
        <is>
          <t>Ledgerline export first omitted role assignment dates; returned 2026-07-03</t>
        </is>
      </c>
    </row>
    <row r="8">
      <c r="A8" s="11" t="inlineStr">
        <is>
          <t>EVID-007</t>
        </is>
      </c>
      <c r="B8" s="11" t="inlineStr">
        <is>
          <t>AC-2; IA-2(1); IA-5</t>
        </is>
      </c>
      <c r="C8" s="12" t="inlineStr">
        <is>
          <t>AWS IAM credential report for wcp-prod</t>
        </is>
      </c>
      <c r="D8" s="12" t="inlineStr">
        <is>
          <t>IAM credential report (CSV)</t>
        </is>
      </c>
      <c r="E8" s="11" t="inlineStr">
        <is>
          <t>Tomasz Wierzbicki</t>
        </is>
      </c>
      <c r="F8" s="13" t="n">
        <v>46183</v>
      </c>
      <c r="G8" s="13" t="n">
        <v>46192</v>
      </c>
      <c r="H8" s="13" t="n">
        <v>46204</v>
      </c>
      <c r="I8" s="11" t="inlineStr">
        <is>
          <t>Accepted</t>
        </is>
      </c>
      <c r="J8" s="11" t="inlineStr">
        <is>
          <t>As of 2026-06-30</t>
        </is>
      </c>
      <c r="K8" s="12" t="inlineStr">
        <is>
          <t>evidence/IA/EVID-007_aws-iam-credential-report_2026-06-30.csv</t>
        </is>
      </c>
      <c r="L8" s="11" t="inlineStr">
        <is>
          <t>Yes</t>
        </is>
      </c>
      <c r="M8" s="11" t="inlineStr">
        <is>
          <t>Lead assessor</t>
        </is>
      </c>
      <c r="N8" s="12" t="inlineStr">
        <is>
          <t>Revealed mfeld-admin (no MFA) and svc-reporting-etl static key</t>
        </is>
      </c>
      <c r="O8" s="11" t="inlineStr">
        <is>
          <t>Implementation</t>
        </is>
      </c>
      <c r="P8" s="11" t="inlineStr">
        <is>
          <t>Sufficient</t>
        </is>
      </c>
      <c r="Q8" s="12" t="inlineStr"/>
      <c r="R8" s="12" t="inlineStr">
        <is>
          <t>No</t>
        </is>
      </c>
      <c r="S8" s="11">
        <f>IF(H8="",MAX(0,README!$B$4-G8),MAX(0,H8-G8))</f>
        <v/>
      </c>
      <c r="T8" s="12" t="inlineStr"/>
    </row>
    <row r="9">
      <c r="A9" s="11" t="inlineStr">
        <is>
          <t>EVID-008</t>
        </is>
      </c>
      <c r="B9" s="11" t="inlineStr">
        <is>
          <t>AC-6(7)</t>
        </is>
      </c>
      <c r="C9" s="12" t="inlineStr">
        <is>
          <t>Q1 2026 access certification campaign export (reviewer, item, decision, timestamp)</t>
        </is>
      </c>
      <c r="D9" s="12" t="inlineStr">
        <is>
          <t>Okta Access Certification campaign export Q1-2026 (412 decisions)</t>
        </is>
      </c>
      <c r="E9" s="11" t="inlineStr">
        <is>
          <t>Alicia Moreno</t>
        </is>
      </c>
      <c r="F9" s="13" t="n">
        <v>46183</v>
      </c>
      <c r="G9" s="13" t="n">
        <v>46192</v>
      </c>
      <c r="H9" s="13" t="n">
        <v>46197</v>
      </c>
      <c r="I9" s="11" t="inlineStr">
        <is>
          <t>Accepted</t>
        </is>
      </c>
      <c r="J9" s="11" t="inlineStr">
        <is>
          <t>2026-03-02 to 2026-03-20</t>
        </is>
      </c>
      <c r="K9" s="12" t="inlineStr">
        <is>
          <t>evidence/AC/EVID-008_q1-certification-summary.md</t>
        </is>
      </c>
      <c r="L9" s="11" t="inlineStr">
        <is>
          <t>Yes</t>
        </is>
      </c>
      <c r="M9" s="11" t="inlineStr">
        <is>
          <t>Lead assessor</t>
        </is>
      </c>
      <c r="N9" s="12" t="inlineStr">
        <is>
          <t>100% approved; 17 of 23 reviewers finished in under 5 minutes; approved 2 items later found invalid</t>
        </is>
      </c>
      <c r="O9" s="11" t="inlineStr">
        <is>
          <t>Operating Effectiveness</t>
        </is>
      </c>
      <c r="P9" s="11" t="inlineStr">
        <is>
          <t>Sufficient</t>
        </is>
      </c>
      <c r="Q9" s="12" t="inlineStr"/>
      <c r="R9" s="12" t="inlineStr">
        <is>
          <t>No</t>
        </is>
      </c>
      <c r="S9" s="11">
        <f>IF(H9="",MAX(0,README!$B$4-G9),MAX(0,H9-G9))</f>
        <v/>
      </c>
      <c r="T9" s="12" t="inlineStr"/>
    </row>
    <row r="10">
      <c r="A10" s="11" t="inlineStr">
        <is>
          <t>EVID-009</t>
        </is>
      </c>
      <c r="B10" s="11" t="inlineStr">
        <is>
          <t>AC-6(7)</t>
        </is>
      </c>
      <c r="C10" s="12" t="inlineStr">
        <is>
          <t>Evidence that quarterly access reviews are performed</t>
        </is>
      </c>
      <c r="D10" s="12" t="inlineStr">
        <is>
          <t>Screenshot: 'Q1 Access Review, 100% complete' dashboard tile</t>
        </is>
      </c>
      <c r="E10" s="11" t="inlineStr">
        <is>
          <t>Alicia Moreno</t>
        </is>
      </c>
      <c r="F10" s="13" t="n">
        <v>46183</v>
      </c>
      <c r="G10" s="13" t="n">
        <v>46192</v>
      </c>
      <c r="H10" s="13" t="n">
        <v>46188</v>
      </c>
      <c r="I10" s="11" t="inlineStr">
        <is>
          <t>Insufficient</t>
        </is>
      </c>
      <c r="J10" s="11" t="inlineStr">
        <is>
          <t>Undated</t>
        </is>
      </c>
      <c r="K10" s="12" t="inlineStr">
        <is>
          <t>evidence/AC/EVID-009_insufficient-screenshot-example.md</t>
        </is>
      </c>
      <c r="L10" s="11" t="inlineStr">
        <is>
          <t>Yes</t>
        </is>
      </c>
      <c r="M10" s="11" t="inlineStr">
        <is>
          <t>Lead assessor</t>
        </is>
      </c>
      <c r="N10" s="12" t="inlineStr">
        <is>
          <t>No population, reviewers, decisions, or date; cannot show review quality</t>
        </is>
      </c>
      <c r="O10" s="11" t="inlineStr">
        <is>
          <t>Design</t>
        </is>
      </c>
      <c r="P10" s="11" t="inlineStr">
        <is>
          <t>Insufficient</t>
        </is>
      </c>
      <c r="Q10" s="12" t="inlineStr">
        <is>
          <t>Screenshot shows completion status only</t>
        </is>
      </c>
      <c r="R10" s="12" t="inlineStr">
        <is>
          <t>Yes: replaced by EVID-008</t>
        </is>
      </c>
      <c r="S10" s="11">
        <f>IF(H10="",MAX(0,README!$B$4-G10),MAX(0,H10-G10))</f>
        <v/>
      </c>
      <c r="T10" s="12" t="inlineStr">
        <is>
          <t>Teaching example: completion does not prove effectiveness</t>
        </is>
      </c>
    </row>
    <row r="11">
      <c r="A11" s="11" t="inlineStr">
        <is>
          <t>EVID-010</t>
        </is>
      </c>
      <c r="B11" s="11" t="inlineStr">
        <is>
          <t>IA-2(1); IA-2(2); IA-2(8)</t>
        </is>
      </c>
      <c r="C11" s="12" t="inlineStr">
        <is>
          <t>Okta authentication and global session policy export</t>
        </is>
      </c>
      <c r="D11" s="12" t="inlineStr">
        <is>
          <t>Okta Policies API export</t>
        </is>
      </c>
      <c r="E11" s="11" t="inlineStr">
        <is>
          <t>Nadia Rahman</t>
        </is>
      </c>
      <c r="F11" s="13" t="n">
        <v>46183</v>
      </c>
      <c r="G11" s="13" t="n">
        <v>46192</v>
      </c>
      <c r="H11" s="13" t="n">
        <v>46203</v>
      </c>
      <c r="I11" s="11" t="inlineStr">
        <is>
          <t>Accepted</t>
        </is>
      </c>
      <c r="J11" s="11" t="inlineStr">
        <is>
          <t>As of 2026-06-30</t>
        </is>
      </c>
      <c r="K11" s="12" t="inlineStr">
        <is>
          <t>evidence/IA/EVID-010_okta-authentication-policies_2026-06-30.json</t>
        </is>
      </c>
      <c r="L11" s="11" t="inlineStr">
        <is>
          <t>Yes</t>
        </is>
      </c>
      <c r="M11" s="11" t="inlineStr">
        <is>
          <t>Lead assessor</t>
        </is>
      </c>
      <c r="N11" s="12" t="inlineStr">
        <is>
          <t>Global policy excludes MFA-Exempt-Legacy group; admin apps accept non-phishing-resistant factors</t>
        </is>
      </c>
      <c r="O11" s="11" t="inlineStr">
        <is>
          <t>Implementation</t>
        </is>
      </c>
      <c r="P11" s="11" t="inlineStr">
        <is>
          <t>Sufficient</t>
        </is>
      </c>
      <c r="Q11" s="12" t="inlineStr"/>
      <c r="R11" s="12" t="inlineStr">
        <is>
          <t>No</t>
        </is>
      </c>
      <c r="S11" s="11">
        <f>IF(H11="",MAX(0,README!$B$4-G11),MAX(0,H11-G11))</f>
        <v/>
      </c>
      <c r="T11" s="12" t="inlineStr"/>
    </row>
    <row r="12">
      <c r="A12" s="11" t="inlineStr">
        <is>
          <t>EVID-011</t>
        </is>
      </c>
      <c r="B12" s="11" t="inlineStr">
        <is>
          <t>IA-2(1); IA-2(2)</t>
        </is>
      </c>
      <c r="C12" s="12" t="inlineStr">
        <is>
          <t>Membership of all MFA exemption groups with reason and approval</t>
        </is>
      </c>
      <c r="D12" s="12" t="inlineStr">
        <is>
          <t>Okta group membership export MFA-Exempt-Legacy</t>
        </is>
      </c>
      <c r="E12" s="11" t="inlineStr">
        <is>
          <t>Nadia Rahman</t>
        </is>
      </c>
      <c r="F12" s="13" t="n">
        <v>46183</v>
      </c>
      <c r="G12" s="13" t="n">
        <v>46192</v>
      </c>
      <c r="H12" s="13" t="n">
        <v>46203</v>
      </c>
      <c r="I12" s="11" t="inlineStr">
        <is>
          <t>Accepted</t>
        </is>
      </c>
      <c r="J12" s="11" t="inlineStr">
        <is>
          <t>As of 2026-06-30</t>
        </is>
      </c>
      <c r="K12" s="12" t="inlineStr">
        <is>
          <t>evidence/IA/EVID-011_okta-mfa-exempt-group_2026-06-30.csv</t>
        </is>
      </c>
      <c r="L12" s="11" t="inlineStr">
        <is>
          <t>Yes</t>
        </is>
      </c>
      <c r="M12" s="11" t="inlineStr">
        <is>
          <t>Lead assessor</t>
        </is>
      </c>
      <c r="N12" s="12" t="inlineStr">
        <is>
          <t>11 members (9 human, 2 service); 0 approvals or expiry dates</t>
        </is>
      </c>
      <c r="O12" s="11" t="inlineStr">
        <is>
          <t>Implementation</t>
        </is>
      </c>
      <c r="P12" s="11" t="inlineStr">
        <is>
          <t>Sufficient</t>
        </is>
      </c>
      <c r="Q12" s="12" t="inlineStr"/>
      <c r="R12" s="12" t="inlineStr">
        <is>
          <t>No</t>
        </is>
      </c>
      <c r="S12" s="11">
        <f>IF(H12="",MAX(0,README!$B$4-G12),MAX(0,H12-G12))</f>
        <v/>
      </c>
      <c r="T12" s="12" t="inlineStr"/>
    </row>
    <row r="13">
      <c r="A13" s="11" t="inlineStr">
        <is>
          <t>EVID-012</t>
        </is>
      </c>
      <c r="B13" s="11" t="inlineStr">
        <is>
          <t>IA-2(8)</t>
        </is>
      </c>
      <c r="C13" s="12" t="inlineStr">
        <is>
          <t>Enabled authenticator configuration</t>
        </is>
      </c>
      <c r="D13" s="12" t="inlineStr">
        <is>
          <t>Okta authenticator settings export</t>
        </is>
      </c>
      <c r="E13" s="11" t="inlineStr">
        <is>
          <t>Nadia Rahman</t>
        </is>
      </c>
      <c r="F13" s="13" t="n">
        <v>46183</v>
      </c>
      <c r="G13" s="13" t="n">
        <v>46192</v>
      </c>
      <c r="H13" s="13" t="n">
        <v>46203</v>
      </c>
      <c r="I13" s="11" t="inlineStr">
        <is>
          <t>Accepted</t>
        </is>
      </c>
      <c r="J13" s="11" t="inlineStr">
        <is>
          <t>As of 2026-06-30</t>
        </is>
      </c>
      <c r="K13" s="12" t="inlineStr">
        <is>
          <t>GRC-Vault:/WCP-2026/IA/EVID-012_okta-authenticators.json</t>
        </is>
      </c>
      <c r="L13" s="11" t="inlineStr">
        <is>
          <t>No</t>
        </is>
      </c>
      <c r="M13" s="11" t="inlineStr">
        <is>
          <t>Lead assessor</t>
        </is>
      </c>
      <c r="N13" s="12" t="inlineStr">
        <is>
          <t>Only replay-resistant factors enabled; SMS/voice disabled</t>
        </is>
      </c>
      <c r="O13" s="11" t="inlineStr">
        <is>
          <t>Implementation</t>
        </is>
      </c>
      <c r="P13" s="11" t="inlineStr">
        <is>
          <t>Sufficient</t>
        </is>
      </c>
      <c r="Q13" s="12" t="inlineStr"/>
      <c r="R13" s="12" t="inlineStr">
        <is>
          <t>No</t>
        </is>
      </c>
      <c r="S13" s="11">
        <f>IF(H13="",MAX(0,README!$B$4-G13),MAX(0,H13-G13))</f>
        <v/>
      </c>
      <c r="T13" s="12" t="inlineStr"/>
    </row>
    <row r="14">
      <c r="A14" s="11" t="inlineStr">
        <is>
          <t>EVID-013</t>
        </is>
      </c>
      <c r="B14" s="11" t="inlineStr">
        <is>
          <t>AC-2; IA-5</t>
        </is>
      </c>
      <c r="C14" s="12" t="inlineStr">
        <is>
          <t>Service-account register with owner, purpose, credential type, and last rotation</t>
        </is>
      </c>
      <c r="D14" s="12" t="inlineStr">
        <is>
          <t>Service account register v2026-06</t>
        </is>
      </c>
      <c r="E14" s="11" t="inlineStr">
        <is>
          <t>Nadia Rahman</t>
        </is>
      </c>
      <c r="F14" s="13" t="n">
        <v>46183</v>
      </c>
      <c r="G14" s="13" t="n">
        <v>46199</v>
      </c>
      <c r="H14" s="13" t="n">
        <v>46211</v>
      </c>
      <c r="I14" s="11" t="inlineStr">
        <is>
          <t>Accepted</t>
        </is>
      </c>
      <c r="J14" s="11" t="inlineStr">
        <is>
          <t>As of 2026-06-30</t>
        </is>
      </c>
      <c r="K14" s="12" t="inlineStr">
        <is>
          <t>access-review/source-exports/service_accounts.csv</t>
        </is>
      </c>
      <c r="L14" s="11" t="inlineStr">
        <is>
          <t>Yes</t>
        </is>
      </c>
      <c r="M14" s="11" t="inlineStr">
        <is>
          <t>Lead assessor</t>
        </is>
      </c>
      <c r="N14" s="12" t="inlineStr">
        <is>
          <t>Accepted after rework</t>
        </is>
      </c>
      <c r="O14" s="11" t="inlineStr">
        <is>
          <t>Implementation</t>
        </is>
      </c>
      <c r="P14" s="11" t="inlineStr">
        <is>
          <t>Sufficient</t>
        </is>
      </c>
      <c r="Q14" s="12" t="inlineStr"/>
      <c r="R14" s="12" t="inlineStr">
        <is>
          <t>No</t>
        </is>
      </c>
      <c r="S14" s="11">
        <f>IF(H14="",MAX(0,README!$B$4-G14),MAX(0,H14-G14))</f>
        <v/>
      </c>
      <c r="T14" s="12" t="inlineStr">
        <is>
          <t>First submission (2026-06-25) lacked owner and rotation columns; returned as Rework Required; accepted 2026-07-08</t>
        </is>
      </c>
    </row>
    <row r="15">
      <c r="A15" s="11" t="inlineStr">
        <is>
          <t>EVID-014</t>
        </is>
      </c>
      <c r="B15" s="11" t="inlineStr">
        <is>
          <t>AC-5</t>
        </is>
      </c>
      <c r="C15" s="12" t="inlineStr">
        <is>
          <t>Ledgerline role and permission matrix and SoD ruleset</t>
        </is>
      </c>
      <c r="D15" s="12" t="inlineStr">
        <is>
          <t>Ledgerline security role report + SoD matrix</t>
        </is>
      </c>
      <c r="E15" s="11" t="inlineStr">
        <is>
          <t>Laura Brenneman</t>
        </is>
      </c>
      <c r="F15" s="13" t="n">
        <v>46183</v>
      </c>
      <c r="G15" s="13" t="n">
        <v>46192</v>
      </c>
      <c r="H15" s="13" t="n">
        <v>46191</v>
      </c>
      <c r="I15" s="11" t="inlineStr">
        <is>
          <t>Accepted</t>
        </is>
      </c>
      <c r="J15" s="11" t="inlineStr">
        <is>
          <t>Current</t>
        </is>
      </c>
      <c r="K15" s="12" t="inlineStr">
        <is>
          <t>access-review/source-exports/sod_rules.csv</t>
        </is>
      </c>
      <c r="L15" s="11" t="inlineStr">
        <is>
          <t>Yes</t>
        </is>
      </c>
      <c r="M15" s="11" t="inlineStr">
        <is>
          <t>Lead assessor</t>
        </is>
      </c>
      <c r="N15" s="12" t="inlineStr">
        <is>
          <t>Rules adequate; conflict detected in assignments</t>
        </is>
      </c>
      <c r="O15" s="11" t="inlineStr">
        <is>
          <t>Design</t>
        </is>
      </c>
      <c r="P15" s="11" t="inlineStr">
        <is>
          <t>Sufficient</t>
        </is>
      </c>
      <c r="Q15" s="12" t="inlineStr"/>
      <c r="R15" s="12" t="inlineStr">
        <is>
          <t>No</t>
        </is>
      </c>
      <c r="S15" s="11">
        <f>IF(H15="",MAX(0,README!$B$4-G15),MAX(0,H15-G15))</f>
        <v/>
      </c>
      <c r="T15" s="12" t="inlineStr"/>
    </row>
    <row r="16">
      <c r="A16" s="11" t="inlineStr">
        <is>
          <t>EVID-015</t>
        </is>
      </c>
      <c r="B16" s="11" t="inlineStr">
        <is>
          <t>AC-5</t>
        </is>
      </c>
      <c r="C16" s="12" t="inlineStr">
        <is>
          <t>Monthly vendor-master change reports with reviewer sign-off (Jan–Jun)</t>
        </is>
      </c>
      <c r="D16" s="12" t="inlineStr">
        <is>
          <t>6 signed Ledgerline vendor-master change reports</t>
        </is>
      </c>
      <c r="E16" s="11" t="inlineStr">
        <is>
          <t>Laura Brenneman</t>
        </is>
      </c>
      <c r="F16" s="13" t="n">
        <v>46183</v>
      </c>
      <c r="G16" s="13" t="n">
        <v>46192</v>
      </c>
      <c r="H16" s="13" t="n">
        <v>46195</v>
      </c>
      <c r="I16" s="11" t="inlineStr">
        <is>
          <t>Accepted</t>
        </is>
      </c>
      <c r="J16" s="11" t="inlineStr">
        <is>
          <t>2026-01 to 2026-06</t>
        </is>
      </c>
      <c r="K16" s="12" t="inlineStr">
        <is>
          <t>GRC-Vault:/WCP-2026/AC/EVID-015_vendor-master-reviews-H1.pdf</t>
        </is>
      </c>
      <c r="L16" s="11" t="inlineStr">
        <is>
          <t>No</t>
        </is>
      </c>
      <c r="M16" s="11" t="inlineStr">
        <is>
          <t>Lead assessor</t>
        </is>
      </c>
      <c r="N16" s="12" t="inlineStr">
        <is>
          <t>6 of 6 signed by Controller within 10 days of month end; 2 bank-detail changes verified by callback</t>
        </is>
      </c>
      <c r="O16" s="11" t="inlineStr">
        <is>
          <t>Operating Effectiveness</t>
        </is>
      </c>
      <c r="P16" s="11" t="inlineStr">
        <is>
          <t>Sufficient</t>
        </is>
      </c>
      <c r="Q16" s="12" t="inlineStr"/>
      <c r="R16" s="12" t="inlineStr">
        <is>
          <t>No</t>
        </is>
      </c>
      <c r="S16" s="11">
        <f>IF(H16="",MAX(0,README!$B$4-G16),MAX(0,H16-G16))</f>
        <v/>
      </c>
      <c r="T16" s="12" t="inlineStr"/>
    </row>
    <row r="17">
      <c r="A17" s="11" t="inlineStr">
        <is>
          <t>EVID-016</t>
        </is>
      </c>
      <c r="B17" s="11" t="inlineStr">
        <is>
          <t>AC-6; AC-6(2); AC-6(5)</t>
        </is>
      </c>
      <c r="C17" s="12" t="inlineStr">
        <is>
          <t>AWS IAM Identity Center permission-set assignments for wcp-prod</t>
        </is>
      </c>
      <c r="D17" s="12" t="inlineStr">
        <is>
          <t>Identity Center assignment export</t>
        </is>
      </c>
      <c r="E17" s="11" t="inlineStr">
        <is>
          <t>Tomasz Wierzbicki</t>
        </is>
      </c>
      <c r="F17" s="13" t="n">
        <v>46183</v>
      </c>
      <c r="G17" s="13" t="n">
        <v>46192</v>
      </c>
      <c r="H17" s="13" t="n">
        <v>46204</v>
      </c>
      <c r="I17" s="11" t="inlineStr">
        <is>
          <t>Accepted</t>
        </is>
      </c>
      <c r="J17" s="11" t="inlineStr">
        <is>
          <t>As of 2026-06-30</t>
        </is>
      </c>
      <c r="K17" s="12" t="inlineStr">
        <is>
          <t>access-review/source-exports/entitlements.csv</t>
        </is>
      </c>
      <c r="L17" s="11" t="inlineStr">
        <is>
          <t>Yes</t>
        </is>
      </c>
      <c r="M17" s="11" t="inlineStr">
        <is>
          <t>Lead assessor</t>
        </is>
      </c>
      <c r="N17" s="12" t="inlineStr">
        <is>
          <t>Admin assignments exceed role definitions</t>
        </is>
      </c>
      <c r="O17" s="11" t="inlineStr">
        <is>
          <t>Implementation</t>
        </is>
      </c>
      <c r="P17" s="11" t="inlineStr">
        <is>
          <t>Sufficient</t>
        </is>
      </c>
      <c r="Q17" s="12" t="inlineStr"/>
      <c r="R17" s="12" t="inlineStr">
        <is>
          <t>No</t>
        </is>
      </c>
      <c r="S17" s="11">
        <f>IF(H17="",MAX(0,README!$B$4-G17),MAX(0,H17-G17))</f>
        <v/>
      </c>
      <c r="T17" s="12" t="inlineStr"/>
    </row>
    <row r="18">
      <c r="A18" s="11" t="inlineStr">
        <is>
          <t>EVID-017</t>
        </is>
      </c>
      <c r="B18" s="11" t="inlineStr">
        <is>
          <t>AC-6(5)</t>
        </is>
      </c>
      <c r="C18" s="12" t="inlineStr">
        <is>
          <t>GitHub organization owners and repository admins</t>
        </is>
      </c>
      <c r="D18" s="12" t="inlineStr">
        <is>
          <t>GitHub org member export (role=owner/admin)</t>
        </is>
      </c>
      <c r="E18" s="11" t="inlineStr">
        <is>
          <t>Grace Lindqvist</t>
        </is>
      </c>
      <c r="F18" s="13" t="n">
        <v>46183</v>
      </c>
      <c r="G18" s="13" t="n">
        <v>46192</v>
      </c>
      <c r="H18" s="13" t="n">
        <v>46204</v>
      </c>
      <c r="I18" s="11" t="inlineStr">
        <is>
          <t>Accepted</t>
        </is>
      </c>
      <c r="J18" s="11" t="inlineStr">
        <is>
          <t>As of 2026-06-30</t>
        </is>
      </c>
      <c r="K18" s="12" t="inlineStr">
        <is>
          <t>access-review/source-exports/entitlements.csv</t>
        </is>
      </c>
      <c r="L18" s="11" t="inlineStr">
        <is>
          <t>Yes</t>
        </is>
      </c>
      <c r="M18" s="11" t="inlineStr">
        <is>
          <t>Lead assessor</t>
        </is>
      </c>
      <c r="N18" s="12" t="inlineStr">
        <is>
          <t>5 owners vs maximum 3</t>
        </is>
      </c>
      <c r="O18" s="11" t="inlineStr">
        <is>
          <t>Implementation</t>
        </is>
      </c>
      <c r="P18" s="11" t="inlineStr">
        <is>
          <t>Sufficient</t>
        </is>
      </c>
      <c r="Q18" s="12" t="inlineStr"/>
      <c r="R18" s="12" t="inlineStr">
        <is>
          <t>No</t>
        </is>
      </c>
      <c r="S18" s="11">
        <f>IF(H18="",MAX(0,README!$B$4-G18),MAX(0,H18-G18))</f>
        <v/>
      </c>
      <c r="T18" s="12" t="inlineStr"/>
    </row>
    <row r="19">
      <c r="A19" s="11" t="inlineStr">
        <is>
          <t>EVID-018</t>
        </is>
      </c>
      <c r="B19" s="11" t="inlineStr">
        <is>
          <t>AC-17</t>
        </is>
      </c>
      <c r="C19" s="12" t="inlineStr">
        <is>
          <t>Remote administrative access architecture and session logging configuration</t>
        </is>
      </c>
      <c r="D19" s="12" t="inlineStr">
        <is>
          <t>SSM Session Manager preferences + network exposure report</t>
        </is>
      </c>
      <c r="E19" s="11" t="inlineStr">
        <is>
          <t>Tomasz Wierzbicki</t>
        </is>
      </c>
      <c r="F19" s="13" t="n">
        <v>46183</v>
      </c>
      <c r="G19" s="13" t="n">
        <v>46192</v>
      </c>
      <c r="H19" s="13" t="n">
        <v>46197</v>
      </c>
      <c r="I19" s="11" t="inlineStr">
        <is>
          <t>Accepted</t>
        </is>
      </c>
      <c r="J19" s="11" t="inlineStr">
        <is>
          <t>As of 2026-06-30</t>
        </is>
      </c>
      <c r="K19" s="12" t="inlineStr">
        <is>
          <t>GRC-Vault:/WCP-2026/AC/EVID-018_ssm-session-prefs.json</t>
        </is>
      </c>
      <c r="L19" s="11" t="inlineStr">
        <is>
          <t>No</t>
        </is>
      </c>
      <c r="M19" s="11" t="inlineStr">
        <is>
          <t>Lead assessor</t>
        </is>
      </c>
      <c r="N19" s="12" t="inlineStr">
        <is>
          <t>Sessions logged and encrypted; no public bastions</t>
        </is>
      </c>
      <c r="O19" s="11" t="inlineStr">
        <is>
          <t>Implementation</t>
        </is>
      </c>
      <c r="P19" s="11" t="inlineStr">
        <is>
          <t>Sufficient</t>
        </is>
      </c>
      <c r="Q19" s="12" t="inlineStr"/>
      <c r="R19" s="12" t="inlineStr">
        <is>
          <t>No</t>
        </is>
      </c>
      <c r="S19" s="11">
        <f>IF(H19="",MAX(0,README!$B$4-G19),MAX(0,H19-G19))</f>
        <v/>
      </c>
      <c r="T19" s="12" t="inlineStr"/>
    </row>
    <row r="20">
      <c r="A20" s="11" t="inlineStr">
        <is>
          <t>EVID-019</t>
        </is>
      </c>
      <c r="B20" s="11" t="inlineStr">
        <is>
          <t>AT-2</t>
        </is>
      </c>
      <c r="C20" s="12" t="inlineStr">
        <is>
          <t>LMS completion report for annual security awareness (full workforce) and phishing simulation results</t>
        </is>
      </c>
      <c r="D20" s="12" t="inlineStr">
        <is>
          <t>LMS report + simulation summary</t>
        </is>
      </c>
      <c r="E20" s="11" t="inlineStr">
        <is>
          <t>Denise Yamamoto</t>
        </is>
      </c>
      <c r="F20" s="13" t="n">
        <v>46183</v>
      </c>
      <c r="G20" s="13" t="n">
        <v>46192</v>
      </c>
      <c r="H20" s="13" t="n">
        <v>46199</v>
      </c>
      <c r="I20" s="11" t="inlineStr">
        <is>
          <t>Accepted</t>
        </is>
      </c>
      <c r="J20" s="11" t="inlineStr">
        <is>
          <t>FY2026 cycle as of 2026-06-30</t>
        </is>
      </c>
      <c r="K20" s="12" t="inlineStr">
        <is>
          <t>GRC-Vault:/WCP-2026/AT/EVID-019_lms-completion-2026-06-30.csv</t>
        </is>
      </c>
      <c r="L20" s="11" t="inlineStr">
        <is>
          <t>No</t>
        </is>
      </c>
      <c r="M20" s="11" t="inlineStr">
        <is>
          <t>Lead assessor</t>
        </is>
      </c>
      <c r="N20" s="12" t="inlineStr">
        <is>
          <t>316 of 347 complete (91%); 4 overdue users hold PHI access</t>
        </is>
      </c>
      <c r="O20" s="11" t="inlineStr">
        <is>
          <t>Operating Effectiveness</t>
        </is>
      </c>
      <c r="P20" s="11" t="inlineStr">
        <is>
          <t>Sufficient</t>
        </is>
      </c>
      <c r="Q20" s="12" t="inlineStr"/>
      <c r="R20" s="12" t="inlineStr">
        <is>
          <t>No</t>
        </is>
      </c>
      <c r="S20" s="11">
        <f>IF(H20="",MAX(0,README!$B$4-G20),MAX(0,H20-G20))</f>
        <v/>
      </c>
      <c r="T20" s="12" t="inlineStr"/>
    </row>
    <row r="21">
      <c r="A21" s="11" t="inlineStr">
        <is>
          <t>EVID-020</t>
        </is>
      </c>
      <c r="B21" s="11" t="inlineStr">
        <is>
          <t>AT-3</t>
        </is>
      </c>
      <c r="C21" s="12" t="inlineStr">
        <is>
          <t>Role-based training completion for engineers, admins, clinical/support staff</t>
        </is>
      </c>
      <c r="D21" s="12" t="inlineStr">
        <is>
          <t>LMS role-group reports</t>
        </is>
      </c>
      <c r="E21" s="11" t="inlineStr">
        <is>
          <t>Denise Yamamoto</t>
        </is>
      </c>
      <c r="F21" s="13" t="n">
        <v>46183</v>
      </c>
      <c r="G21" s="13" t="n">
        <v>46192</v>
      </c>
      <c r="H21" s="13" t="n">
        <v>46199</v>
      </c>
      <c r="I21" s="11" t="inlineStr">
        <is>
          <t>Accepted</t>
        </is>
      </c>
      <c r="J21" s="11" t="inlineStr">
        <is>
          <t>2026-01-01 to 2026-06-30</t>
        </is>
      </c>
      <c r="K21" s="12" t="inlineStr">
        <is>
          <t>GRC-Vault:/WCP-2026/AT/EVID-020_role-training.csv</t>
        </is>
      </c>
      <c r="L21" s="11" t="inlineStr">
        <is>
          <t>No</t>
        </is>
      </c>
      <c r="M21" s="11" t="inlineStr">
        <is>
          <t>Lead assessor</t>
        </is>
      </c>
      <c r="N21" s="12" t="inlineStr">
        <is>
          <t>15 of 15 sampled complete</t>
        </is>
      </c>
      <c r="O21" s="11" t="inlineStr">
        <is>
          <t>Operating Effectiveness</t>
        </is>
      </c>
      <c r="P21" s="11" t="inlineStr">
        <is>
          <t>Sufficient</t>
        </is>
      </c>
      <c r="Q21" s="12" t="inlineStr"/>
      <c r="R21" s="12" t="inlineStr">
        <is>
          <t>No</t>
        </is>
      </c>
      <c r="S21" s="11">
        <f>IF(H21="",MAX(0,README!$B$4-G21),MAX(0,H21-G21))</f>
        <v/>
      </c>
      <c r="T21" s="12" t="inlineStr"/>
    </row>
    <row r="22">
      <c r="A22" s="11" t="inlineStr">
        <is>
          <t>EVID-021</t>
        </is>
      </c>
      <c r="B22" s="11" t="inlineStr">
        <is>
          <t>AU-2</t>
        </is>
      </c>
      <c r="C22" s="12" t="inlineStr">
        <is>
          <t>Logging standard, trail configurations, and sample events for required types</t>
        </is>
      </c>
      <c r="D22" s="12" t="inlineStr">
        <is>
          <t>LMS-004 + CloudTrail/EKS/app-audit configs + 10 traced events</t>
        </is>
      </c>
      <c r="E22" s="11" t="inlineStr">
        <is>
          <t>Owen Castillo</t>
        </is>
      </c>
      <c r="F22" s="13" t="n">
        <v>46183</v>
      </c>
      <c r="G22" s="13" t="n">
        <v>46192</v>
      </c>
      <c r="H22" s="13" t="n">
        <v>46197</v>
      </c>
      <c r="I22" s="11" t="inlineStr">
        <is>
          <t>Accepted</t>
        </is>
      </c>
      <c r="J22" s="11" t="inlineStr">
        <is>
          <t>As of 2026-06-30</t>
        </is>
      </c>
      <c r="K22" s="12" t="inlineStr">
        <is>
          <t>GRC-Vault:/WCP-2026/AU/EVID-021_logging-config-and-samples.zip</t>
        </is>
      </c>
      <c r="L22" s="11" t="inlineStr">
        <is>
          <t>No</t>
        </is>
      </c>
      <c r="M22" s="11" t="inlineStr">
        <is>
          <t>Lead assessor</t>
        </is>
      </c>
      <c r="N22" s="12" t="inlineStr">
        <is>
          <t>10 of 10 required event types present with required fields</t>
        </is>
      </c>
      <c r="O22" s="11" t="inlineStr">
        <is>
          <t>Implementation</t>
        </is>
      </c>
      <c r="P22" s="11" t="inlineStr">
        <is>
          <t>Sufficient</t>
        </is>
      </c>
      <c r="Q22" s="12" t="inlineStr"/>
      <c r="R22" s="12" t="inlineStr">
        <is>
          <t>No</t>
        </is>
      </c>
      <c r="S22" s="11">
        <f>IF(H22="",MAX(0,README!$B$4-G22),MAX(0,H22-G22))</f>
        <v/>
      </c>
      <c r="T22" s="12" t="inlineStr"/>
    </row>
    <row r="23">
      <c r="A23" s="11" t="inlineStr">
        <is>
          <t>EVID-022</t>
        </is>
      </c>
      <c r="B23" s="11" t="inlineStr">
        <is>
          <t>AU-6</t>
        </is>
      </c>
      <c r="C23" s="12" t="inlineStr">
        <is>
          <t>All weekly privileged-activity review tickets W01–W26</t>
        </is>
      </c>
      <c r="D23" s="12" t="inlineStr">
        <is>
          <t>SEC ticket export</t>
        </is>
      </c>
      <c r="E23" s="11" t="inlineStr">
        <is>
          <t>Owen Castillo</t>
        </is>
      </c>
      <c r="F23" s="13" t="n">
        <v>46183</v>
      </c>
      <c r="G23" s="13" t="n">
        <v>46192</v>
      </c>
      <c r="H23" s="13" t="n">
        <v>46199</v>
      </c>
      <c r="I23" s="11" t="inlineStr">
        <is>
          <t>Accepted</t>
        </is>
      </c>
      <c r="J23" s="11" t="inlineStr">
        <is>
          <t>2026-W01 to 2026-W26</t>
        </is>
      </c>
      <c r="K23" s="12" t="inlineStr">
        <is>
          <t>evidence/AU/EVID-022_privileged-activity-reviews-2026H1.csv</t>
        </is>
      </c>
      <c r="L23" s="11" t="inlineStr">
        <is>
          <t>Yes</t>
        </is>
      </c>
      <c r="M23" s="11" t="inlineStr">
        <is>
          <t>Lead assessor</t>
        </is>
      </c>
      <c r="N23" s="12" t="inlineStr">
        <is>
          <t>19 of 26 performed; 17 of 26 fully effective</t>
        </is>
      </c>
      <c r="O23" s="11" t="inlineStr">
        <is>
          <t>Operating Effectiveness</t>
        </is>
      </c>
      <c r="P23" s="11" t="inlineStr">
        <is>
          <t>Sufficient</t>
        </is>
      </c>
      <c r="Q23" s="12" t="inlineStr"/>
      <c r="R23" s="12" t="inlineStr">
        <is>
          <t>No</t>
        </is>
      </c>
      <c r="S23" s="11">
        <f>IF(H23="",MAX(0,README!$B$4-G23),MAX(0,H23-G23))</f>
        <v/>
      </c>
      <c r="T23" s="12" t="inlineStr"/>
    </row>
    <row r="24">
      <c r="A24" s="11" t="inlineStr">
        <is>
          <t>EVID-023</t>
        </is>
      </c>
      <c r="B24" s="11" t="inlineStr">
        <is>
          <t>AU-9</t>
        </is>
      </c>
      <c r="C24" s="12" t="inlineStr">
        <is>
          <t>Log archive bucket protections and SCPs</t>
        </is>
      </c>
      <c r="D24" s="12" t="inlineStr">
        <is>
          <t>S3 Object Lock config + bucket policy + SCP JSON</t>
        </is>
      </c>
      <c r="E24" s="11" t="inlineStr">
        <is>
          <t>Owen Castillo</t>
        </is>
      </c>
      <c r="F24" s="13" t="n">
        <v>46183</v>
      </c>
      <c r="G24" s="13" t="n">
        <v>46192</v>
      </c>
      <c r="H24" s="13" t="n">
        <v>46197</v>
      </c>
      <c r="I24" s="11" t="inlineStr">
        <is>
          <t>Accepted</t>
        </is>
      </c>
      <c r="J24" s="11" t="inlineStr">
        <is>
          <t>As of 2026-06-30</t>
        </is>
      </c>
      <c r="K24" s="12" t="inlineStr">
        <is>
          <t>GRC-Vault:/WCP-2026/AU/EVID-023_log-archive-protections.json</t>
        </is>
      </c>
      <c r="L24" s="11" t="inlineStr">
        <is>
          <t>No</t>
        </is>
      </c>
      <c r="M24" s="11" t="inlineStr">
        <is>
          <t>Lead assessor</t>
        </is>
      </c>
      <c r="N24" s="12" t="inlineStr">
        <is>
          <t>Compliance-mode Object Lock; StopLogging denied</t>
        </is>
      </c>
      <c r="O24" s="11" t="inlineStr">
        <is>
          <t>Implementation</t>
        </is>
      </c>
      <c r="P24" s="11" t="inlineStr">
        <is>
          <t>Sufficient</t>
        </is>
      </c>
      <c r="Q24" s="12" t="inlineStr"/>
      <c r="R24" s="12" t="inlineStr">
        <is>
          <t>No</t>
        </is>
      </c>
      <c r="S24" s="11">
        <f>IF(H24="",MAX(0,README!$B$4-G24),MAX(0,H24-G24))</f>
        <v/>
      </c>
      <c r="T24" s="12" t="inlineStr"/>
    </row>
    <row r="25">
      <c r="A25" s="11" t="inlineStr">
        <is>
          <t>EVID-024</t>
        </is>
      </c>
      <c r="B25" s="11" t="inlineStr">
        <is>
          <t>AU-11</t>
        </is>
      </c>
      <c r="C25" s="12" t="inlineStr">
        <is>
          <t>Retention settings for every audit source plus oldest available record per source</t>
        </is>
      </c>
      <c r="D25" s="12" t="inlineStr">
        <is>
          <t>SIEM retention setting + S3 lifecycle + CloudWatch retention + oldest-record queries</t>
        </is>
      </c>
      <c r="E25" s="11" t="inlineStr">
        <is>
          <t>Owen Castillo</t>
        </is>
      </c>
      <c r="F25" s="13" t="n">
        <v>46183</v>
      </c>
      <c r="G25" s="13" t="n">
        <v>46192</v>
      </c>
      <c r="H25" s="13" t="n">
        <v>46198</v>
      </c>
      <c r="I25" s="11" t="inlineStr">
        <is>
          <t>Accepted</t>
        </is>
      </c>
      <c r="J25" s="11" t="inlineStr">
        <is>
          <t>As of 2026-06-30</t>
        </is>
      </c>
      <c r="K25" s="12" t="inlineStr">
        <is>
          <t>evidence/AU/EVID-024_log-retention-config_2026-06-30.json</t>
        </is>
      </c>
      <c r="L25" s="11" t="inlineStr">
        <is>
          <t>Yes</t>
        </is>
      </c>
      <c r="M25" s="11" t="inlineStr">
        <is>
          <t>Lead assessor</t>
        </is>
      </c>
      <c r="N25" s="12" t="inlineStr">
        <is>
          <t>Retention 90–180 days vs 12-month requirement</t>
        </is>
      </c>
      <c r="O25" s="11" t="inlineStr">
        <is>
          <t>Implementation</t>
        </is>
      </c>
      <c r="P25" s="11" t="inlineStr">
        <is>
          <t>Sufficient</t>
        </is>
      </c>
      <c r="Q25" s="12" t="inlineStr"/>
      <c r="R25" s="12" t="inlineStr">
        <is>
          <t>No</t>
        </is>
      </c>
      <c r="S25" s="11">
        <f>IF(H25="",MAX(0,README!$B$4-G25),MAX(0,H25-G25))</f>
        <v/>
      </c>
      <c r="T25" s="12" t="inlineStr"/>
    </row>
    <row r="26">
      <c r="A26" s="11" t="inlineStr">
        <is>
          <t>EVID-025</t>
        </is>
      </c>
      <c r="B26" s="11" t="inlineStr">
        <is>
          <t>CA-2</t>
        </is>
      </c>
      <c r="C26" s="12" t="inlineStr">
        <is>
          <t>Most recent SOC 2 Type II report and external penetration test report</t>
        </is>
      </c>
      <c r="D26" s="12" t="inlineStr">
        <is>
          <t>SOC 2 Type II (2024-10-01 to 2025-09-30) + 2025 pentest summary and retest letter</t>
        </is>
      </c>
      <c r="E26" s="11" t="inlineStr">
        <is>
          <t>Priya Raman</t>
        </is>
      </c>
      <c r="F26" s="13" t="n">
        <v>46183</v>
      </c>
      <c r="G26" s="13" t="n">
        <v>46192</v>
      </c>
      <c r="H26" s="13" t="n">
        <v>46185</v>
      </c>
      <c r="I26" s="11" t="inlineStr">
        <is>
          <t>Accepted</t>
        </is>
      </c>
      <c r="J26" s="11" t="inlineStr">
        <is>
          <t>FY2025</t>
        </is>
      </c>
      <c r="K26" s="12" t="inlineStr">
        <is>
          <t>GRC-Vault:/WCP-2026/CA/EVID-025_soc2-and-pentest.pdf</t>
        </is>
      </c>
      <c r="L26" s="11" t="inlineStr">
        <is>
          <t>No</t>
        </is>
      </c>
      <c r="M26" s="11" t="inlineStr">
        <is>
          <t>Lead assessor</t>
        </is>
      </c>
      <c r="N26" s="12" t="inlineStr">
        <is>
          <t>Independent assessments at defined frequency</t>
        </is>
      </c>
      <c r="O26" s="11" t="inlineStr">
        <is>
          <t>Operating Effectiveness</t>
        </is>
      </c>
      <c r="P26" s="11" t="inlineStr">
        <is>
          <t>Sufficient</t>
        </is>
      </c>
      <c r="Q26" s="12" t="inlineStr"/>
      <c r="R26" s="12" t="inlineStr">
        <is>
          <t>No</t>
        </is>
      </c>
      <c r="S26" s="11">
        <f>IF(H26="",MAX(0,README!$B$4-G26),MAX(0,H26-G26))</f>
        <v/>
      </c>
      <c r="T26" s="12" t="inlineStr"/>
    </row>
    <row r="27">
      <c r="A27" s="11" t="inlineStr">
        <is>
          <t>EVID-026</t>
        </is>
      </c>
      <c r="B27" s="11" t="inlineStr">
        <is>
          <t>CA-3; SA-9</t>
        </is>
      </c>
      <c r="C27" s="12" t="inlineStr">
        <is>
          <t>Quarrystone MSA/BAA and data sharing specification; 3 customer interface specs</t>
        </is>
      </c>
      <c r="D27" s="12" t="inlineStr">
        <is>
          <t>Contracts + Data Sharing Specification v2 + 3 interface specs</t>
        </is>
      </c>
      <c r="E27" s="11" t="inlineStr">
        <is>
          <t>Liam Porter</t>
        </is>
      </c>
      <c r="F27" s="13" t="n">
        <v>46183</v>
      </c>
      <c r="G27" s="13" t="n">
        <v>46192</v>
      </c>
      <c r="H27" s="13" t="n">
        <v>46192</v>
      </c>
      <c r="I27" s="11" t="inlineStr">
        <is>
          <t>Accepted</t>
        </is>
      </c>
      <c r="J27" s="11" t="inlineStr">
        <is>
          <t>Current</t>
        </is>
      </c>
      <c r="K27" s="12" t="inlineStr">
        <is>
          <t>GRC-Vault:/WCP-2026/CA/EVID-026_interconnection-agreements.zip</t>
        </is>
      </c>
      <c r="L27" s="11" t="inlineStr">
        <is>
          <t>No</t>
        </is>
      </c>
      <c r="M27" s="11" t="inlineStr">
        <is>
          <t>Lead assessor</t>
        </is>
      </c>
      <c r="N27" s="12" t="inlineStr">
        <is>
          <t>Agreements present; Quarrystone terms inadequate (see VR-002/005)</t>
        </is>
      </c>
      <c r="O27" s="11" t="inlineStr">
        <is>
          <t>Design</t>
        </is>
      </c>
      <c r="P27" s="11" t="inlineStr">
        <is>
          <t>Sufficient</t>
        </is>
      </c>
      <c r="Q27" s="12" t="inlineStr"/>
      <c r="R27" s="12" t="inlineStr">
        <is>
          <t>No</t>
        </is>
      </c>
      <c r="S27" s="11">
        <f>IF(H27="",MAX(0,README!$B$4-G27),MAX(0,H27-G27))</f>
        <v/>
      </c>
      <c r="T27" s="12" t="inlineStr"/>
    </row>
    <row r="28">
      <c r="A28" s="11" t="inlineStr">
        <is>
          <t>EVID-027</t>
        </is>
      </c>
      <c r="B28" s="11" t="inlineStr">
        <is>
          <t>CA-5; RA-7</t>
        </is>
      </c>
      <c r="C28" s="12" t="inlineStr">
        <is>
          <t>Existing security issue tracking (pre-assessment)</t>
        </is>
      </c>
      <c r="D28" s="12" t="inlineStr">
        <is>
          <t>Jira SECISSUE export (37 items)</t>
        </is>
      </c>
      <c r="E28" s="11" t="inlineStr">
        <is>
          <t>Priya Raman</t>
        </is>
      </c>
      <c r="F28" s="13" t="n">
        <v>46183</v>
      </c>
      <c r="G28" s="13" t="n">
        <v>46192</v>
      </c>
      <c r="H28" s="13" t="n">
        <v>46188</v>
      </c>
      <c r="I28" s="11" t="inlineStr">
        <is>
          <t>Accepted</t>
        </is>
      </c>
      <c r="J28" s="11" t="inlineStr">
        <is>
          <t>2025-07-01 to 2026-06-30</t>
        </is>
      </c>
      <c r="K28" s="12" t="inlineStr">
        <is>
          <t>GRC-Vault:/WCP-2026/CA/EVID-027_secissue-export.csv</t>
        </is>
      </c>
      <c r="L28" s="11" t="inlineStr">
        <is>
          <t>No</t>
        </is>
      </c>
      <c r="M28" s="11" t="inlineStr">
        <is>
          <t>Lead assessor</t>
        </is>
      </c>
      <c r="N28" s="12" t="inlineStr">
        <is>
          <t>100% with owner and due date; 4 overdue</t>
        </is>
      </c>
      <c r="O28" s="11" t="inlineStr">
        <is>
          <t>Operating Effectiveness</t>
        </is>
      </c>
      <c r="P28" s="11" t="inlineStr">
        <is>
          <t>Sufficient</t>
        </is>
      </c>
      <c r="Q28" s="12" t="inlineStr"/>
      <c r="R28" s="12" t="inlineStr">
        <is>
          <t>No</t>
        </is>
      </c>
      <c r="S28" s="11">
        <f>IF(H28="",MAX(0,README!$B$4-G28),MAX(0,H28-G28))</f>
        <v/>
      </c>
      <c r="T28" s="12" t="inlineStr"/>
    </row>
    <row r="29">
      <c r="A29" s="11" t="inlineStr">
        <is>
          <t>EVID-028</t>
        </is>
      </c>
      <c r="B29" s="11" t="inlineStr">
        <is>
          <t>CM-6; CA-7; SC-7; AC-17</t>
        </is>
      </c>
      <c r="C29" s="12" t="inlineStr">
        <is>
          <t>Security Hub CIS benchmark results and finding history</t>
        </is>
      </c>
      <c r="D29" s="12" t="inlineStr">
        <is>
          <t>Security Hub summary + finding history export</t>
        </is>
      </c>
      <c r="E29" s="11" t="inlineStr">
        <is>
          <t>Tomasz Wierzbicki</t>
        </is>
      </c>
      <c r="F29" s="13" t="n">
        <v>46183</v>
      </c>
      <c r="G29" s="13" t="n">
        <v>46192</v>
      </c>
      <c r="H29" s="13" t="n">
        <v>46197</v>
      </c>
      <c r="I29" s="11" t="inlineStr">
        <is>
          <t>Accepted</t>
        </is>
      </c>
      <c r="J29" s="11" t="inlineStr">
        <is>
          <t>2026-01-01 to 2026-06-30</t>
        </is>
      </c>
      <c r="K29" s="12" t="inlineStr">
        <is>
          <t>GRC-Vault:/WCP-2026/CM/EVID-028_securityhub.csv</t>
        </is>
      </c>
      <c r="L29" s="11" t="inlineStr">
        <is>
          <t>No</t>
        </is>
      </c>
      <c r="M29" s="11" t="inlineStr">
        <is>
          <t>Lead assessor</t>
        </is>
      </c>
      <c r="N29" s="12" t="inlineStr">
        <is>
          <t>97% passing; 3 High findings untriaged &gt; 30 days</t>
        </is>
      </c>
      <c r="O29" s="11" t="inlineStr">
        <is>
          <t>Implementation</t>
        </is>
      </c>
      <c r="P29" s="11" t="inlineStr">
        <is>
          <t>Sufficient</t>
        </is>
      </c>
      <c r="Q29" s="12" t="inlineStr"/>
      <c r="R29" s="12" t="inlineStr">
        <is>
          <t>No</t>
        </is>
      </c>
      <c r="S29" s="11">
        <f>IF(H29="",MAX(0,README!$B$4-G29),MAX(0,H29-G29))</f>
        <v/>
      </c>
      <c r="T29" s="12" t="inlineStr"/>
    </row>
    <row r="30">
      <c r="A30" s="11" t="inlineStr">
        <is>
          <t>EVID-029</t>
        </is>
      </c>
      <c r="B30" s="11" t="inlineStr">
        <is>
          <t>CM-2</t>
        </is>
      </c>
      <c r="C30" s="12" t="inlineStr">
        <is>
          <t>Terraform baseline and AMI build specification; drift check output</t>
        </is>
      </c>
      <c r="D30" s="12" t="inlineStr">
        <is>
          <t>Repo links + AMI pipeline spec + drift plan output (3 modules)</t>
        </is>
      </c>
      <c r="E30" s="11" t="inlineStr">
        <is>
          <t>Tomasz Wierzbicki</t>
        </is>
      </c>
      <c r="F30" s="13" t="n">
        <v>46183</v>
      </c>
      <c r="G30" s="13" t="n">
        <v>46192</v>
      </c>
      <c r="H30" s="13" t="n">
        <v>46197</v>
      </c>
      <c r="I30" s="11" t="inlineStr">
        <is>
          <t>Accepted</t>
        </is>
      </c>
      <c r="J30" s="11" t="inlineStr">
        <is>
          <t>As of 2026-06-30</t>
        </is>
      </c>
      <c r="K30" s="12" t="inlineStr">
        <is>
          <t>GRC-Vault:/WCP-2026/CM/EVID-029_baseline.zip</t>
        </is>
      </c>
      <c r="L30" s="11" t="inlineStr">
        <is>
          <t>No</t>
        </is>
      </c>
      <c r="M30" s="11" t="inlineStr">
        <is>
          <t>Lead assessor</t>
        </is>
      </c>
      <c r="N30" s="12" t="inlineStr">
        <is>
          <t>No drift in sampled modules</t>
        </is>
      </c>
      <c r="O30" s="11" t="inlineStr">
        <is>
          <t>Implementation</t>
        </is>
      </c>
      <c r="P30" s="11" t="inlineStr">
        <is>
          <t>Sufficient</t>
        </is>
      </c>
      <c r="Q30" s="12" t="inlineStr"/>
      <c r="R30" s="12" t="inlineStr">
        <is>
          <t>No</t>
        </is>
      </c>
      <c r="S30" s="11">
        <f>IF(H30="",MAX(0,README!$B$4-G30),MAX(0,H30-G30))</f>
        <v/>
      </c>
      <c r="T30" s="12" t="inlineStr"/>
    </row>
    <row r="31">
      <c r="A31" s="11" t="inlineStr">
        <is>
          <t>EVID-030</t>
        </is>
      </c>
      <c r="B31" s="11" t="inlineStr">
        <is>
          <t>CM-3</t>
        </is>
      </c>
      <c r="C31" s="12" t="inlineStr">
        <is>
          <t>Population of production changes (212) and full records for the 25 sampled (seed 20260618)</t>
        </is>
      </c>
      <c r="D31" s="12" t="inlineStr">
        <is>
          <t>Jira CHG export + PR/deploy records</t>
        </is>
      </c>
      <c r="E31" s="11" t="inlineStr">
        <is>
          <t>Tomasz Wierzbicki</t>
        </is>
      </c>
      <c r="F31" s="13" t="n">
        <v>46183</v>
      </c>
      <c r="G31" s="13" t="n">
        <v>46192</v>
      </c>
      <c r="H31" s="13" t="n">
        <v>46202</v>
      </c>
      <c r="I31" s="11" t="inlineStr">
        <is>
          <t>Accepted</t>
        </is>
      </c>
      <c r="J31" s="11" t="inlineStr">
        <is>
          <t>2026-01-01 to 2026-06-30</t>
        </is>
      </c>
      <c r="K31" s="12" t="inlineStr">
        <is>
          <t>evidence/CM/EVID-030_change-sample-2026H1.csv</t>
        </is>
      </c>
      <c r="L31" s="11" t="inlineStr">
        <is>
          <t>Yes</t>
        </is>
      </c>
      <c r="M31" s="11" t="inlineStr">
        <is>
          <t>Lead assessor</t>
        </is>
      </c>
      <c r="N31" s="12" t="inlineStr">
        <is>
          <t>3 of 25 exceptions</t>
        </is>
      </c>
      <c r="O31" s="11" t="inlineStr">
        <is>
          <t>Operating Effectiveness</t>
        </is>
      </c>
      <c r="P31" s="11" t="inlineStr">
        <is>
          <t>Sufficient</t>
        </is>
      </c>
      <c r="Q31" s="12" t="inlineStr"/>
      <c r="R31" s="12" t="inlineStr">
        <is>
          <t>No</t>
        </is>
      </c>
      <c r="S31" s="11">
        <f>IF(H31="",MAX(0,README!$B$4-G31),MAX(0,H31-G31))</f>
        <v/>
      </c>
      <c r="T31" s="12" t="inlineStr"/>
    </row>
    <row r="32">
      <c r="A32" s="11" t="inlineStr">
        <is>
          <t>EVID-031</t>
        </is>
      </c>
      <c r="B32" s="11" t="inlineStr">
        <is>
          <t>CM-8; RA-5</t>
        </is>
      </c>
      <c r="C32" s="12" t="inlineStr">
        <is>
          <t>Asset inventory (AWS Config aggregator + MDM) with tag compliance</t>
        </is>
      </c>
      <c r="D32" s="12" t="inlineStr">
        <is>
          <t>Config resource inventory + MDM export + tag-compliance report</t>
        </is>
      </c>
      <c r="E32" s="11" t="inlineStr">
        <is>
          <t>Tomasz Wierzbicki</t>
        </is>
      </c>
      <c r="F32" s="13" t="n">
        <v>46183</v>
      </c>
      <c r="G32" s="13" t="n">
        <v>46192</v>
      </c>
      <c r="H32" s="13" t="n">
        <v>46197</v>
      </c>
      <c r="I32" s="11" t="inlineStr">
        <is>
          <t>Accepted</t>
        </is>
      </c>
      <c r="J32" s="11" t="inlineStr">
        <is>
          <t>As of 2026-06-30</t>
        </is>
      </c>
      <c r="K32" s="12" t="inlineStr">
        <is>
          <t>GRC-Vault:/WCP-2026/CM/EVID-031_inventory.zip</t>
        </is>
      </c>
      <c r="L32" s="11" t="inlineStr">
        <is>
          <t>No</t>
        </is>
      </c>
      <c r="M32" s="11" t="inlineStr">
        <is>
          <t>Lead assessor</t>
        </is>
      </c>
      <c r="N32" s="12" t="inlineStr">
        <is>
          <t>Complete; 93% owner-tag compliance</t>
        </is>
      </c>
      <c r="O32" s="11" t="inlineStr">
        <is>
          <t>Implementation</t>
        </is>
      </c>
      <c r="P32" s="11" t="inlineStr">
        <is>
          <t>Sufficient</t>
        </is>
      </c>
      <c r="Q32" s="12" t="inlineStr"/>
      <c r="R32" s="12" t="inlineStr">
        <is>
          <t>No</t>
        </is>
      </c>
      <c r="S32" s="11">
        <f>IF(H32="",MAX(0,README!$B$4-G32),MAX(0,H32-G32))</f>
        <v/>
      </c>
      <c r="T32" s="12" t="inlineStr"/>
    </row>
    <row r="33">
      <c r="A33" s="11" t="inlineStr">
        <is>
          <t>EVID-032</t>
        </is>
      </c>
      <c r="B33" s="11" t="inlineStr">
        <is>
          <t>CP-2</t>
        </is>
      </c>
      <c r="C33" s="12" t="inlineStr">
        <is>
          <t>Current BC/DR plan</t>
        </is>
      </c>
      <c r="D33" s="12" t="inlineStr">
        <is>
          <t>BCP-003 v2.1 (2025-11)</t>
        </is>
      </c>
      <c r="E33" s="11" t="inlineStr">
        <is>
          <t>Tomasz Wierzbicki</t>
        </is>
      </c>
      <c r="F33" s="13" t="n">
        <v>46183</v>
      </c>
      <c r="G33" s="13" t="n">
        <v>46192</v>
      </c>
      <c r="H33" s="13" t="n">
        <v>46185</v>
      </c>
      <c r="I33" s="11" t="inlineStr">
        <is>
          <t>Accepted</t>
        </is>
      </c>
      <c r="J33" s="11" t="inlineStr">
        <is>
          <t>Current version</t>
        </is>
      </c>
      <c r="K33" s="12" t="inlineStr">
        <is>
          <t>GRC-Vault:/WCP-2026/CP/EVID-032_BCP-003_v2.1.pdf</t>
        </is>
      </c>
      <c r="L33" s="11" t="inlineStr">
        <is>
          <t>No</t>
        </is>
      </c>
      <c r="M33" s="11" t="inlineStr">
        <is>
          <t>Lead assessor</t>
        </is>
      </c>
      <c r="N33" s="12" t="inlineStr">
        <is>
          <t>Adequate design with RTO 4h / RPO 1h</t>
        </is>
      </c>
      <c r="O33" s="11" t="inlineStr">
        <is>
          <t>Design</t>
        </is>
      </c>
      <c r="P33" s="11" t="inlineStr">
        <is>
          <t>Sufficient</t>
        </is>
      </c>
      <c r="Q33" s="12" t="inlineStr"/>
      <c r="R33" s="12" t="inlineStr">
        <is>
          <t>No</t>
        </is>
      </c>
      <c r="S33" s="11">
        <f>IF(H33="",MAX(0,README!$B$4-G33),MAX(0,H33-G33))</f>
        <v/>
      </c>
      <c r="T33" s="12" t="inlineStr"/>
    </row>
    <row r="34">
      <c r="A34" s="11" t="inlineStr">
        <is>
          <t>EVID-033</t>
        </is>
      </c>
      <c r="B34" s="11" t="inlineStr">
        <is>
          <t>CP-4</t>
        </is>
      </c>
      <c r="C34" s="12" t="inlineStr">
        <is>
          <t>Contingency plan test records (last 24 months)</t>
        </is>
      </c>
      <c r="D34" s="12" t="inlineStr">
        <is>
          <t>2024-04 AZ failover engineering notes</t>
        </is>
      </c>
      <c r="E34" s="11" t="inlineStr">
        <is>
          <t>Tomasz Wierzbicki</t>
        </is>
      </c>
      <c r="F34" s="13" t="n">
        <v>46183</v>
      </c>
      <c r="G34" s="13" t="n">
        <v>46192</v>
      </c>
      <c r="H34" s="13" t="n">
        <v>46199</v>
      </c>
      <c r="I34" s="11" t="inlineStr">
        <is>
          <t>Insufficient</t>
        </is>
      </c>
      <c r="J34" s="11" t="inlineStr">
        <is>
          <t>2024-07-01 to 2026-06-30</t>
        </is>
      </c>
      <c r="K34" s="12" t="inlineStr">
        <is>
          <t>GRC-Vault:/WCP-2026/CP/EVID-033_az-failover-notes-2024.md</t>
        </is>
      </c>
      <c r="L34" s="11" t="inlineStr">
        <is>
          <t>No</t>
        </is>
      </c>
      <c r="M34" s="11" t="inlineStr">
        <is>
          <t>Lead assessor</t>
        </is>
      </c>
      <c r="N34" s="12" t="inlineStr">
        <is>
          <t>No plan-level test within 12 months; notes are not an after-action report</t>
        </is>
      </c>
      <c r="O34" s="11" t="inlineStr">
        <is>
          <t>Design</t>
        </is>
      </c>
      <c r="P34" s="11" t="inlineStr">
        <is>
          <t>Insufficient</t>
        </is>
      </c>
      <c r="Q34" s="12" t="inlineStr">
        <is>
          <t>No CP test in period</t>
        </is>
      </c>
      <c r="R34" s="12" t="inlineStr">
        <is>
          <t>Yes: POAM-014</t>
        </is>
      </c>
      <c r="S34" s="11">
        <f>IF(H34="",MAX(0,README!$B$4-G34),MAX(0,H34-G34))</f>
        <v/>
      </c>
      <c r="T34" s="12" t="inlineStr"/>
    </row>
    <row r="35">
      <c r="A35" s="11" t="inlineStr">
        <is>
          <t>EVID-034</t>
        </is>
      </c>
      <c r="B35" s="11" t="inlineStr">
        <is>
          <t>CP-9</t>
        </is>
      </c>
      <c r="C35" s="12" t="inlineStr">
        <is>
          <t>Backup plans, job history (30 days), vault protections</t>
        </is>
      </c>
      <c r="D35" s="12" t="inlineStr">
        <is>
          <t>AWS Backup plan JSON + job history + Vault Lock config</t>
        </is>
      </c>
      <c r="E35" s="11" t="inlineStr">
        <is>
          <t>Tomasz Wierzbicki</t>
        </is>
      </c>
      <c r="F35" s="13" t="n">
        <v>46183</v>
      </c>
      <c r="G35" s="13" t="n">
        <v>46192</v>
      </c>
      <c r="H35" s="13" t="n">
        <v>46197</v>
      </c>
      <c r="I35" s="11" t="inlineStr">
        <is>
          <t>Accepted</t>
        </is>
      </c>
      <c r="J35" s="11" t="inlineStr">
        <is>
          <t>2026-06-01 to 2026-06-30</t>
        </is>
      </c>
      <c r="K35" s="12" t="inlineStr">
        <is>
          <t>GRC-Vault:/WCP-2026/CP/EVID-034_backup-config.zip</t>
        </is>
      </c>
      <c r="L35" s="11" t="inlineStr">
        <is>
          <t>No</t>
        </is>
      </c>
      <c r="M35" s="11" t="inlineStr">
        <is>
          <t>Lead assessor</t>
        </is>
      </c>
      <c r="N35" s="12" t="inlineStr">
        <is>
          <t>30 of 30 jobs successful; Vault Lock compliance mode</t>
        </is>
      </c>
      <c r="O35" s="11" t="inlineStr">
        <is>
          <t>Operating Effectiveness</t>
        </is>
      </c>
      <c r="P35" s="11" t="inlineStr">
        <is>
          <t>Sufficient</t>
        </is>
      </c>
      <c r="Q35" s="12" t="inlineStr"/>
      <c r="R35" s="12" t="inlineStr">
        <is>
          <t>No</t>
        </is>
      </c>
      <c r="S35" s="11">
        <f>IF(H35="",MAX(0,README!$B$4-G35),MAX(0,H35-G35))</f>
        <v/>
      </c>
      <c r="T35" s="12" t="inlineStr"/>
    </row>
    <row r="36">
      <c r="A36" s="11" t="inlineStr">
        <is>
          <t>EVID-035</t>
        </is>
      </c>
      <c r="B36" s="11" t="inlineStr">
        <is>
          <t>CP-9(1)</t>
        </is>
      </c>
      <c r="C36" s="12" t="inlineStr">
        <is>
          <t>Backup restore test records</t>
        </is>
      </c>
      <c r="D36" s="12" t="inlineStr">
        <is>
          <t>Backup job success notifications (no restore records)</t>
        </is>
      </c>
      <c r="E36" s="11" t="inlineStr">
        <is>
          <t>Tomasz Wierzbicki</t>
        </is>
      </c>
      <c r="F36" s="13" t="n">
        <v>46183</v>
      </c>
      <c r="G36" s="13" t="n">
        <v>46192</v>
      </c>
      <c r="H36" s="13" t="n">
        <v>46199</v>
      </c>
      <c r="I36" s="11" t="inlineStr">
        <is>
          <t>Insufficient</t>
        </is>
      </c>
      <c r="J36" s="11" t="inlineStr">
        <is>
          <t>2025-07-01 to 2026-06-30</t>
        </is>
      </c>
      <c r="K36" s="12" t="inlineStr">
        <is>
          <t>GRC-Vault:/WCP-2026/CP/EVID-035_backup-job-notifications.pdf</t>
        </is>
      </c>
      <c r="L36" s="11" t="inlineStr">
        <is>
          <t>No</t>
        </is>
      </c>
      <c r="M36" s="11" t="inlineStr">
        <is>
          <t>Lead assessor</t>
        </is>
      </c>
      <c r="N36" s="12" t="inlineStr">
        <is>
          <t>A successful backup job is not a tested restore</t>
        </is>
      </c>
      <c r="O36" s="11" t="inlineStr">
        <is>
          <t>Implementation</t>
        </is>
      </c>
      <c r="P36" s="11" t="inlineStr">
        <is>
          <t>Insufficient</t>
        </is>
      </c>
      <c r="Q36" s="12" t="inlineStr">
        <is>
          <t>No restore test ever documented</t>
        </is>
      </c>
      <c r="R36" s="12" t="inlineStr">
        <is>
          <t>Yes: POAM-013</t>
        </is>
      </c>
      <c r="S36" s="11">
        <f>IF(H36="",MAX(0,README!$B$4-G36),MAX(0,H36-G36))</f>
        <v/>
      </c>
      <c r="T36" s="12" t="inlineStr"/>
    </row>
    <row r="37">
      <c r="A37" s="11" t="inlineStr">
        <is>
          <t>EVID-036</t>
        </is>
      </c>
      <c r="B37" s="11" t="inlineStr">
        <is>
          <t>IR-8</t>
        </is>
      </c>
      <c r="C37" s="12" t="inlineStr">
        <is>
          <t>Current incident response plan with review history</t>
        </is>
      </c>
      <c r="D37" s="12" t="inlineStr">
        <is>
          <t>IRP-005 v4.0 (reviewed 2025-11)</t>
        </is>
      </c>
      <c r="E37" s="11" t="inlineStr">
        <is>
          <t>Owen Castillo</t>
        </is>
      </c>
      <c r="F37" s="13" t="n">
        <v>46183</v>
      </c>
      <c r="G37" s="13" t="n">
        <v>46192</v>
      </c>
      <c r="H37" s="13" t="n">
        <v>46185</v>
      </c>
      <c r="I37" s="11" t="inlineStr">
        <is>
          <t>Accepted</t>
        </is>
      </c>
      <c r="J37" s="11" t="inlineStr">
        <is>
          <t>Current version</t>
        </is>
      </c>
      <c r="K37" s="12" t="inlineStr">
        <is>
          <t>GRC-Vault:/WCP-2026/IR/EVID-036_IRP-005_v4.0.pdf</t>
        </is>
      </c>
      <c r="L37" s="11" t="inlineStr">
        <is>
          <t>No</t>
        </is>
      </c>
      <c r="M37" s="11" t="inlineStr">
        <is>
          <t>Lead assessor</t>
        </is>
      </c>
      <c r="N37" s="12" t="inlineStr">
        <is>
          <t>Current; stale contact roster (OBS-03)</t>
        </is>
      </c>
      <c r="O37" s="11" t="inlineStr">
        <is>
          <t>Design</t>
        </is>
      </c>
      <c r="P37" s="11" t="inlineStr">
        <is>
          <t>Sufficient</t>
        </is>
      </c>
      <c r="Q37" s="12" t="inlineStr"/>
      <c r="R37" s="12" t="inlineStr">
        <is>
          <t>No</t>
        </is>
      </c>
      <c r="S37" s="11">
        <f>IF(H37="",MAX(0,README!$B$4-G37),MAX(0,H37-G37))</f>
        <v/>
      </c>
      <c r="T37" s="12" t="inlineStr"/>
    </row>
    <row r="38">
      <c r="A38" s="11" t="inlineStr">
        <is>
          <t>EVID-037</t>
        </is>
      </c>
      <c r="B38" s="11" t="inlineStr">
        <is>
          <t>IR-3</t>
        </is>
      </c>
      <c r="C38" s="12" t="inlineStr">
        <is>
          <t>IR test/exercise records (last 24 months)</t>
        </is>
      </c>
      <c r="D38" s="12" t="inlineStr">
        <is>
          <t>2024-09-18 tabletop after-action report</t>
        </is>
      </c>
      <c r="E38" s="11" t="inlineStr">
        <is>
          <t>Owen Castillo</t>
        </is>
      </c>
      <c r="F38" s="13" t="n">
        <v>46183</v>
      </c>
      <c r="G38" s="13" t="n">
        <v>46192</v>
      </c>
      <c r="H38" s="13" t="n">
        <v>46199</v>
      </c>
      <c r="I38" s="11" t="inlineStr">
        <is>
          <t>Insufficient</t>
        </is>
      </c>
      <c r="J38" s="11" t="inlineStr">
        <is>
          <t>2024-07-01 to 2026-06-30</t>
        </is>
      </c>
      <c r="K38" s="12" t="inlineStr">
        <is>
          <t>GRC-Vault:/WCP-2026/IR/EVID-037_tabletop-2024-09.pdf</t>
        </is>
      </c>
      <c r="L38" s="11" t="inlineStr">
        <is>
          <t>No</t>
        </is>
      </c>
      <c r="M38" s="11" t="inlineStr">
        <is>
          <t>Lead assessor</t>
        </is>
      </c>
      <c r="N38" s="12" t="inlineStr">
        <is>
          <t>Most recent exercise 21 months before fieldwork</t>
        </is>
      </c>
      <c r="O38" s="11" t="inlineStr">
        <is>
          <t>Design</t>
        </is>
      </c>
      <c r="P38" s="11" t="inlineStr">
        <is>
          <t>Insufficient</t>
        </is>
      </c>
      <c r="Q38" s="12" t="inlineStr">
        <is>
          <t>No IR test in 12 months</t>
        </is>
      </c>
      <c r="R38" s="12" t="inlineStr">
        <is>
          <t>Yes: POAM-014</t>
        </is>
      </c>
      <c r="S38" s="11">
        <f>IF(H38="",MAX(0,README!$B$4-G38),MAX(0,H38-G38))</f>
        <v/>
      </c>
      <c r="T38" s="12" t="inlineStr"/>
    </row>
    <row r="39">
      <c r="A39" s="11" t="inlineStr">
        <is>
          <t>EVID-038</t>
        </is>
      </c>
      <c r="B39" s="11" t="inlineStr">
        <is>
          <t>IR-4; IR-6; SI-3</t>
        </is>
      </c>
      <c r="C39" s="12" t="inlineStr">
        <is>
          <t>All incident tickets for the period with timelines and notifications</t>
        </is>
      </c>
      <c r="D39" s="12" t="inlineStr">
        <is>
          <t>Incident register export (6 incidents)</t>
        </is>
      </c>
      <c r="E39" s="11" t="inlineStr">
        <is>
          <t>Owen Castillo</t>
        </is>
      </c>
      <c r="F39" s="13" t="n">
        <v>46183</v>
      </c>
      <c r="G39" s="13" t="n">
        <v>46192</v>
      </c>
      <c r="H39" s="13" t="n">
        <v>46199</v>
      </c>
      <c r="I39" s="11" t="inlineStr">
        <is>
          <t>Accepted</t>
        </is>
      </c>
      <c r="J39" s="11" t="inlineStr">
        <is>
          <t>2026-01-01 to 2026-06-30</t>
        </is>
      </c>
      <c r="K39" s="12" t="inlineStr">
        <is>
          <t>evidence/IR/EVID-038_incident-tickets-2026H1.csv</t>
        </is>
      </c>
      <c r="L39" s="11" t="inlineStr">
        <is>
          <t>Yes</t>
        </is>
      </c>
      <c r="M39" s="11" t="inlineStr">
        <is>
          <t>Lead assessor</t>
        </is>
      </c>
      <c r="N39" s="12" t="inlineStr">
        <is>
          <t>6 of 6 handled per plan; notification timely</t>
        </is>
      </c>
      <c r="O39" s="11" t="inlineStr">
        <is>
          <t>Operating Effectiveness</t>
        </is>
      </c>
      <c r="P39" s="11" t="inlineStr">
        <is>
          <t>Sufficient</t>
        </is>
      </c>
      <c r="Q39" s="12" t="inlineStr"/>
      <c r="R39" s="12" t="inlineStr">
        <is>
          <t>No</t>
        </is>
      </c>
      <c r="S39" s="11">
        <f>IF(H39="",MAX(0,README!$B$4-G39),MAX(0,H39-G39))</f>
        <v/>
      </c>
      <c r="T39" s="12" t="inlineStr"/>
    </row>
    <row r="40">
      <c r="A40" s="11" t="inlineStr">
        <is>
          <t>EVID-039</t>
        </is>
      </c>
      <c r="B40" s="11" t="inlineStr">
        <is>
          <t>MP-6</t>
        </is>
      </c>
      <c r="C40" s="12" t="inlineStr">
        <is>
          <t>Certificates of destruction for all devices retired in the period</t>
        </is>
      </c>
      <c r="D40" s="12" t="inlineStr">
        <is>
          <t>14 Coldwater certificates + MDM retired-device list</t>
        </is>
      </c>
      <c r="E40" s="11" t="inlineStr">
        <is>
          <t>Kevin Brandt</t>
        </is>
      </c>
      <c r="F40" s="13" t="n">
        <v>46183</v>
      </c>
      <c r="G40" s="13" t="n">
        <v>46192</v>
      </c>
      <c r="H40" s="13" t="n">
        <v>46195</v>
      </c>
      <c r="I40" s="11" t="inlineStr">
        <is>
          <t>Accepted</t>
        </is>
      </c>
      <c r="J40" s="11" t="inlineStr">
        <is>
          <t>2026-01-01 to 2026-06-30</t>
        </is>
      </c>
      <c r="K40" s="12" t="inlineStr">
        <is>
          <t>GRC-Vault:/WCP-2026/MP/EVID-039_itad-certificates.pdf</t>
        </is>
      </c>
      <c r="L40" s="11" t="inlineStr">
        <is>
          <t>No</t>
        </is>
      </c>
      <c r="M40" s="11" t="inlineStr">
        <is>
          <t>Lead assessor</t>
        </is>
      </c>
      <c r="N40" s="12" t="inlineStr">
        <is>
          <t>14 of 14 reconciled by serial</t>
        </is>
      </c>
      <c r="O40" s="11" t="inlineStr">
        <is>
          <t>Operating Effectiveness</t>
        </is>
      </c>
      <c r="P40" s="11" t="inlineStr">
        <is>
          <t>Sufficient</t>
        </is>
      </c>
      <c r="Q40" s="12" t="inlineStr"/>
      <c r="R40" s="12" t="inlineStr">
        <is>
          <t>No</t>
        </is>
      </c>
      <c r="S40" s="11">
        <f>IF(H40="",MAX(0,README!$B$4-G40),MAX(0,H40-G40))</f>
        <v/>
      </c>
      <c r="T40" s="12" t="inlineStr"/>
    </row>
    <row r="41">
      <c r="A41" s="11" t="inlineStr">
        <is>
          <t>EVID-040</t>
        </is>
      </c>
      <c r="B41" s="11" t="inlineStr">
        <is>
          <t>PE-3; MP-6; AC-18</t>
        </is>
      </c>
      <c r="C41" s="12" t="inlineStr">
        <is>
          <t>Inherited-control record and provider attestation review log; boundary definition</t>
        </is>
      </c>
      <c r="D41" s="12" t="inlineStr">
        <is>
          <t>Control inheritance record + 2026-03 attestation review note + boundary diagram</t>
        </is>
      </c>
      <c r="E41" s="11" t="inlineStr">
        <is>
          <t>Priya Raman</t>
        </is>
      </c>
      <c r="F41" s="13" t="n">
        <v>46183</v>
      </c>
      <c r="G41" s="13" t="n">
        <v>46192</v>
      </c>
      <c r="H41" s="13" t="n">
        <v>46188</v>
      </c>
      <c r="I41" s="11" t="inlineStr">
        <is>
          <t>Accepted</t>
        </is>
      </c>
      <c r="J41" s="11" t="inlineStr">
        <is>
          <t>Current</t>
        </is>
      </c>
      <c r="K41" s="12" t="inlineStr">
        <is>
          <t>docs/scope/system-profile.md</t>
        </is>
      </c>
      <c r="L41" s="11" t="inlineStr">
        <is>
          <t>Yes</t>
        </is>
      </c>
      <c r="M41" s="11" t="inlineStr">
        <is>
          <t>Lead assessor</t>
        </is>
      </c>
      <c r="N41" s="12" t="inlineStr">
        <is>
          <t>Inheritance documented and reviewed</t>
        </is>
      </c>
      <c r="O41" s="11" t="inlineStr">
        <is>
          <t>Design</t>
        </is>
      </c>
      <c r="P41" s="11" t="inlineStr">
        <is>
          <t>Sufficient</t>
        </is>
      </c>
      <c r="Q41" s="12" t="inlineStr"/>
      <c r="R41" s="12" t="inlineStr">
        <is>
          <t>No</t>
        </is>
      </c>
      <c r="S41" s="11">
        <f>IF(H41="",MAX(0,README!$B$4-G41),MAX(0,H41-G41))</f>
        <v/>
      </c>
      <c r="T41" s="12" t="inlineStr"/>
    </row>
    <row r="42">
      <c r="A42" s="11" t="inlineStr">
        <is>
          <t>EVID-041</t>
        </is>
      </c>
      <c r="B42" s="11" t="inlineStr">
        <is>
          <t>PL-2</t>
        </is>
      </c>
      <c r="C42" s="12" t="inlineStr">
        <is>
          <t>Current system security plan</t>
        </is>
      </c>
      <c r="D42" s="12" t="inlineStr">
        <is>
          <t>SSP v1.3 (2025-02)</t>
        </is>
      </c>
      <c r="E42" s="11" t="inlineStr">
        <is>
          <t>Priya Raman</t>
        </is>
      </c>
      <c r="F42" s="13" t="n">
        <v>46183</v>
      </c>
      <c r="G42" s="13" t="n">
        <v>46192</v>
      </c>
      <c r="H42" s="13" t="n">
        <v>46185</v>
      </c>
      <c r="I42" s="11" t="inlineStr">
        <is>
          <t>Accepted</t>
        </is>
      </c>
      <c r="J42" s="11" t="inlineStr">
        <is>
          <t>Current version</t>
        </is>
      </c>
      <c r="K42" s="12" t="inlineStr">
        <is>
          <t>GRC-Vault:/WCP-2026/PL/EVID-041_SSP_v1.3.pdf</t>
        </is>
      </c>
      <c r="L42" s="11" t="inlineStr">
        <is>
          <t>No</t>
        </is>
      </c>
      <c r="M42" s="11" t="inlineStr">
        <is>
          <t>Lead assessor</t>
        </is>
      </c>
      <c r="N42" s="12" t="inlineStr">
        <is>
          <t>Outdated: 3 architecture changes missing; 27 of 61 controls overstated vs testing</t>
        </is>
      </c>
      <c r="O42" s="11" t="inlineStr">
        <is>
          <t>Design</t>
        </is>
      </c>
      <c r="P42" s="11" t="inlineStr">
        <is>
          <t>Sufficient</t>
        </is>
      </c>
      <c r="Q42" s="12" t="inlineStr"/>
      <c r="R42" s="12" t="inlineStr">
        <is>
          <t>No</t>
        </is>
      </c>
      <c r="S42" s="11">
        <f>IF(H42="",MAX(0,README!$B$4-G42),MAX(0,H42-G42))</f>
        <v/>
      </c>
      <c r="T42" s="12" t="inlineStr"/>
    </row>
    <row r="43">
      <c r="A43" s="11" t="inlineStr">
        <is>
          <t>EVID-042</t>
        </is>
      </c>
      <c r="B43" s="11" t="inlineStr">
        <is>
          <t>PM-9</t>
        </is>
      </c>
      <c r="C43" s="12" t="inlineStr">
        <is>
          <t>Risk management strategy and Board-approved risk appetite</t>
        </is>
      </c>
      <c r="D43" s="12" t="inlineStr">
        <is>
          <t>RMS-001 + Risk Appetite Statement (Board minutes 2025-10-21)</t>
        </is>
      </c>
      <c r="E43" s="11" t="inlineStr">
        <is>
          <t>Alicia Moreno</t>
        </is>
      </c>
      <c r="F43" s="13" t="n">
        <v>46183</v>
      </c>
      <c r="G43" s="13" t="n">
        <v>46192</v>
      </c>
      <c r="H43" s="13" t="n">
        <v>46185</v>
      </c>
      <c r="I43" s="11" t="inlineStr">
        <is>
          <t>Accepted</t>
        </is>
      </c>
      <c r="J43" s="11" t="inlineStr">
        <is>
          <t>Current</t>
        </is>
      </c>
      <c r="K43" s="12" t="inlineStr">
        <is>
          <t>GRC-Vault:/WCP-2026/PM/EVID-042_RMS-001_and_appetite.pdf</t>
        </is>
      </c>
      <c r="L43" s="11" t="inlineStr">
        <is>
          <t>No</t>
        </is>
      </c>
      <c r="M43" s="11" t="inlineStr">
        <is>
          <t>Lead assessor</t>
        </is>
      </c>
      <c r="N43" s="12" t="inlineStr">
        <is>
          <t>Adequate; applied in RACC-001 and VR-001 escalation</t>
        </is>
      </c>
      <c r="O43" s="11" t="inlineStr">
        <is>
          <t>Design</t>
        </is>
      </c>
      <c r="P43" s="11" t="inlineStr">
        <is>
          <t>Sufficient</t>
        </is>
      </c>
      <c r="Q43" s="12" t="inlineStr"/>
      <c r="R43" s="12" t="inlineStr">
        <is>
          <t>No</t>
        </is>
      </c>
      <c r="S43" s="11">
        <f>IF(H43="",MAX(0,README!$B$4-G43),MAX(0,H43-G43))</f>
        <v/>
      </c>
      <c r="T43" s="12" t="inlineStr"/>
    </row>
    <row r="44">
      <c r="A44" s="11" t="inlineStr">
        <is>
          <t>EVID-043</t>
        </is>
      </c>
      <c r="B44" s="11" t="inlineStr">
        <is>
          <t>PS-3</t>
        </is>
      </c>
      <c r="C44" s="12" t="inlineStr">
        <is>
          <t>Background-check completion for 15 sampled H1 hires/contractors</t>
        </is>
      </c>
      <c r="D44" s="12" t="inlineStr">
        <is>
          <t>Screening vendor reports + Northgate attestations</t>
        </is>
      </c>
      <c r="E44" s="11" t="inlineStr">
        <is>
          <t>Denise Yamamoto</t>
        </is>
      </c>
      <c r="F44" s="13" t="n">
        <v>46183</v>
      </c>
      <c r="G44" s="13" t="n">
        <v>46192</v>
      </c>
      <c r="H44" s="13" t="n">
        <v>46195</v>
      </c>
      <c r="I44" s="11" t="inlineStr">
        <is>
          <t>Accepted</t>
        </is>
      </c>
      <c r="J44" s="11" t="inlineStr">
        <is>
          <t>2026-01-01 to 2026-06-30</t>
        </is>
      </c>
      <c r="K44" s="12" t="inlineStr">
        <is>
          <t>GRC-Vault:/WCP-2026/PS/EVID-043_screening-sample.pdf</t>
        </is>
      </c>
      <c r="L44" s="11" t="inlineStr">
        <is>
          <t>No</t>
        </is>
      </c>
      <c r="M44" s="11" t="inlineStr">
        <is>
          <t>Lead assessor</t>
        </is>
      </c>
      <c r="N44" s="12" t="inlineStr">
        <is>
          <t>15 of 15 screened before access</t>
        </is>
      </c>
      <c r="O44" s="11" t="inlineStr">
        <is>
          <t>Operating Effectiveness</t>
        </is>
      </c>
      <c r="P44" s="11" t="inlineStr">
        <is>
          <t>Sufficient</t>
        </is>
      </c>
      <c r="Q44" s="12" t="inlineStr"/>
      <c r="R44" s="12" t="inlineStr">
        <is>
          <t>No</t>
        </is>
      </c>
      <c r="S44" s="11">
        <f>IF(H44="",MAX(0,README!$B$4-G44),MAX(0,H44-G44))</f>
        <v/>
      </c>
      <c r="T44" s="12" t="inlineStr"/>
    </row>
    <row r="45">
      <c r="A45" s="11" t="inlineStr">
        <is>
          <t>EVID-044</t>
        </is>
      </c>
      <c r="B45" s="11" t="inlineStr">
        <is>
          <t>PS-5</t>
        </is>
      </c>
      <c r="C45" s="12" t="inlineStr">
        <is>
          <t>All transfers in period with before/after access</t>
        </is>
      </c>
      <c r="D45" s="12" t="inlineStr">
        <is>
          <t>PeopleHub transfer report (6) + access tickets</t>
        </is>
      </c>
      <c r="E45" s="11" t="inlineStr">
        <is>
          <t>Denise Yamamoto</t>
        </is>
      </c>
      <c r="F45" s="13" t="n">
        <v>46183</v>
      </c>
      <c r="G45" s="13" t="n">
        <v>46192</v>
      </c>
      <c r="H45" s="13" t="n">
        <v>46195</v>
      </c>
      <c r="I45" s="11" t="inlineStr">
        <is>
          <t>Accepted</t>
        </is>
      </c>
      <c r="J45" s="11" t="inlineStr">
        <is>
          <t>2026-01-01 to 2026-06-30</t>
        </is>
      </c>
      <c r="K45" s="12" t="inlineStr">
        <is>
          <t>GRC-Vault:/WCP-2026/PS/EVID-044_transfers.csv</t>
        </is>
      </c>
      <c r="L45" s="11" t="inlineStr">
        <is>
          <t>No</t>
        </is>
      </c>
      <c r="M45" s="11" t="inlineStr">
        <is>
          <t>Lead assessor</t>
        </is>
      </c>
      <c r="N45" s="12" t="inlineStr">
        <is>
          <t>1 of 6 retained prior-role PHI access</t>
        </is>
      </c>
      <c r="O45" s="11" t="inlineStr">
        <is>
          <t>Operating Effectiveness</t>
        </is>
      </c>
      <c r="P45" s="11" t="inlineStr">
        <is>
          <t>Sufficient</t>
        </is>
      </c>
      <c r="Q45" s="12" t="inlineStr"/>
      <c r="R45" s="12" t="inlineStr">
        <is>
          <t>No</t>
        </is>
      </c>
      <c r="S45" s="11">
        <f>IF(H45="",MAX(0,README!$B$4-G45),MAX(0,H45-G45))</f>
        <v/>
      </c>
      <c r="T45" s="12" t="inlineStr"/>
    </row>
    <row r="46">
      <c r="A46" s="11" t="inlineStr">
        <is>
          <t>EVID-045</t>
        </is>
      </c>
      <c r="B46" s="11" t="inlineStr">
        <is>
          <t>PS-7</t>
        </is>
      </c>
      <c r="C46" s="12" t="inlineStr">
        <is>
          <t>Contractor roster with SOW start/end dates and scope</t>
        </is>
      </c>
      <c r="D46" s="12" t="inlineStr">
        <is>
          <t>Northgate SOW register (5 contractors active in H1)</t>
        </is>
      </c>
      <c r="E46" s="11" t="inlineStr">
        <is>
          <t>Sofia Ricci</t>
        </is>
      </c>
      <c r="F46" s="13" t="n">
        <v>46183</v>
      </c>
      <c r="G46" s="13" t="n">
        <v>46192</v>
      </c>
      <c r="H46" s="13" t="n">
        <v>46195</v>
      </c>
      <c r="I46" s="11" t="inlineStr">
        <is>
          <t>Accepted</t>
        </is>
      </c>
      <c r="J46" s="11" t="inlineStr">
        <is>
          <t>2026-01-01 to 2026-06-30</t>
        </is>
      </c>
      <c r="K46" s="12" t="inlineStr">
        <is>
          <t>GRC-Vault:/WCP-2026/PS/EVID-045_contractor-sow-register.xlsx</t>
        </is>
      </c>
      <c r="L46" s="11" t="inlineStr">
        <is>
          <t>No</t>
        </is>
      </c>
      <c r="M46" s="11" t="inlineStr">
        <is>
          <t>Lead assessor</t>
        </is>
      </c>
      <c r="N46" s="12" t="inlineStr">
        <is>
          <t>End dates not enforced in Okta; scope not mapped to access</t>
        </is>
      </c>
      <c r="O46" s="11" t="inlineStr">
        <is>
          <t>Implementation</t>
        </is>
      </c>
      <c r="P46" s="11" t="inlineStr">
        <is>
          <t>Sufficient</t>
        </is>
      </c>
      <c r="Q46" s="12" t="inlineStr"/>
      <c r="R46" s="12" t="inlineStr">
        <is>
          <t>No</t>
        </is>
      </c>
      <c r="S46" s="11">
        <f>IF(H46="",MAX(0,README!$B$4-G46),MAX(0,H46-G46))</f>
        <v/>
      </c>
      <c r="T46" s="12" t="inlineStr"/>
    </row>
    <row r="47">
      <c r="A47" s="11" t="inlineStr">
        <is>
          <t>EVID-046</t>
        </is>
      </c>
      <c r="B47" s="11" t="inlineStr">
        <is>
          <t>RA-2</t>
        </is>
      </c>
      <c r="C47" s="12" t="inlineStr">
        <is>
          <t>FIPS 199 categorization worksheet with approval</t>
        </is>
      </c>
      <c r="D47" s="12" t="inlineStr">
        <is>
          <t>Categorization worksheet (2025-06)</t>
        </is>
      </c>
      <c r="E47" s="11" t="inlineStr">
        <is>
          <t>Samir Haddad</t>
        </is>
      </c>
      <c r="F47" s="13" t="n">
        <v>46183</v>
      </c>
      <c r="G47" s="13" t="n">
        <v>46192</v>
      </c>
      <c r="H47" s="13" t="n">
        <v>46185</v>
      </c>
      <c r="I47" s="11" t="inlineStr">
        <is>
          <t>Accepted</t>
        </is>
      </c>
      <c r="J47" s="11" t="inlineStr">
        <is>
          <t>Current</t>
        </is>
      </c>
      <c r="K47" s="12" t="inlineStr">
        <is>
          <t>docs/scope/system-profile.md</t>
        </is>
      </c>
      <c r="L47" s="11" t="inlineStr">
        <is>
          <t>Yes</t>
        </is>
      </c>
      <c r="M47" s="11" t="inlineStr">
        <is>
          <t>Lead assessor</t>
        </is>
      </c>
      <c r="N47" s="12" t="inlineStr">
        <is>
          <t>Moderate categorization confirmed</t>
        </is>
      </c>
      <c r="O47" s="11" t="inlineStr">
        <is>
          <t>Design</t>
        </is>
      </c>
      <c r="P47" s="11" t="inlineStr">
        <is>
          <t>Sufficient</t>
        </is>
      </c>
      <c r="Q47" s="12" t="inlineStr"/>
      <c r="R47" s="12" t="inlineStr">
        <is>
          <t>No</t>
        </is>
      </c>
      <c r="S47" s="11">
        <f>IF(H47="",MAX(0,README!$B$4-G47),MAX(0,H47-G47))</f>
        <v/>
      </c>
      <c r="T47" s="12" t="inlineStr"/>
    </row>
    <row r="48">
      <c r="A48" s="11" t="inlineStr">
        <is>
          <t>EVID-047</t>
        </is>
      </c>
      <c r="B48" s="11" t="inlineStr">
        <is>
          <t>RA-3</t>
        </is>
      </c>
      <c r="C48" s="12" t="inlineStr">
        <is>
          <t>Most recent risk assessment</t>
        </is>
      </c>
      <c r="D48" s="12" t="inlineStr">
        <is>
          <t>2025 HIPAA risk analysis report (2025-09)</t>
        </is>
      </c>
      <c r="E48" s="11" t="inlineStr">
        <is>
          <t>Priya Raman</t>
        </is>
      </c>
      <c r="F48" s="13" t="n">
        <v>46183</v>
      </c>
      <c r="G48" s="13" t="n">
        <v>46192</v>
      </c>
      <c r="H48" s="13" t="n">
        <v>46185</v>
      </c>
      <c r="I48" s="11" t="inlineStr">
        <is>
          <t>Accepted</t>
        </is>
      </c>
      <c r="J48" s="11" t="inlineStr">
        <is>
          <t>FY2025</t>
        </is>
      </c>
      <c r="K48" s="12" t="inlineStr">
        <is>
          <t>GRC-Vault:/WCP-2026/RA/EVID-047_risk-analysis-2025.pdf</t>
        </is>
      </c>
      <c r="L48" s="11" t="inlineStr">
        <is>
          <t>No</t>
        </is>
      </c>
      <c r="M48" s="11" t="inlineStr">
        <is>
          <t>Lead assessor</t>
        </is>
      </c>
      <c r="N48" s="12" t="inlineStr">
        <is>
          <t>Adequate method; missed vendor offshore and retention risks</t>
        </is>
      </c>
      <c r="O48" s="11" t="inlineStr">
        <is>
          <t>Design</t>
        </is>
      </c>
      <c r="P48" s="11" t="inlineStr">
        <is>
          <t>Sufficient</t>
        </is>
      </c>
      <c r="Q48" s="12" t="inlineStr"/>
      <c r="R48" s="12" t="inlineStr">
        <is>
          <t>No</t>
        </is>
      </c>
      <c r="S48" s="11">
        <f>IF(H48="",MAX(0,README!$B$4-G48),MAX(0,H48-G48))</f>
        <v/>
      </c>
      <c r="T48" s="12" t="inlineStr"/>
    </row>
    <row r="49">
      <c r="A49" s="11" t="inlineStr">
        <is>
          <t>EVID-048</t>
        </is>
      </c>
      <c r="B49" s="11" t="inlineStr">
        <is>
          <t>RA-5; SI-2; SA-22</t>
        </is>
      </c>
      <c r="C49" s="12" t="inlineStr">
        <is>
          <t>All Critical/High vulnerability findings open at any point in H1, with detection and remediation dates</t>
        </is>
      </c>
      <c r="D49" s="12" t="inlineStr">
        <is>
          <t>Scanner export (61 findings)</t>
        </is>
      </c>
      <c r="E49" s="11" t="inlineStr">
        <is>
          <t>Owen Castillo</t>
        </is>
      </c>
      <c r="F49" s="13" t="n">
        <v>46183</v>
      </c>
      <c r="G49" s="13" t="n">
        <v>46192</v>
      </c>
      <c r="H49" s="13" t="n">
        <v>46202</v>
      </c>
      <c r="I49" s="11" t="inlineStr">
        <is>
          <t>Accepted</t>
        </is>
      </c>
      <c r="J49" s="11" t="inlineStr">
        <is>
          <t>2026-01-01 to 2026-06-30</t>
        </is>
      </c>
      <c r="K49" s="12" t="inlineStr">
        <is>
          <t>evidence/RA/EVID-048_vuln-remediation-aging-2026H1.csv</t>
        </is>
      </c>
      <c r="L49" s="11" t="inlineStr">
        <is>
          <t>Yes</t>
        </is>
      </c>
      <c r="M49" s="11" t="inlineStr">
        <is>
          <t>Lead assessor</t>
        </is>
      </c>
      <c r="N49" s="12" t="inlineStr">
        <is>
          <t>14 of 61 beyond SLA; 6 open past SLA</t>
        </is>
      </c>
      <c r="O49" s="11" t="inlineStr">
        <is>
          <t>Operating Effectiveness</t>
        </is>
      </c>
      <c r="P49" s="11" t="inlineStr">
        <is>
          <t>Sufficient</t>
        </is>
      </c>
      <c r="Q49" s="12" t="inlineStr"/>
      <c r="R49" s="12" t="inlineStr">
        <is>
          <t>No</t>
        </is>
      </c>
      <c r="S49" s="11">
        <f>IF(H49="",MAX(0,README!$B$4-G49),MAX(0,H49-G49))</f>
        <v/>
      </c>
      <c r="T49" s="12" t="inlineStr"/>
    </row>
    <row r="50">
      <c r="A50" s="11" t="inlineStr">
        <is>
          <t>EVID-049</t>
        </is>
      </c>
      <c r="B50" s="11" t="inlineStr">
        <is>
          <t>SA-9; SR-6</t>
        </is>
      </c>
      <c r="C50" s="12" t="inlineStr">
        <is>
          <t>Vendor inventory with tiers and assessment dates</t>
        </is>
      </c>
      <c r="D50" s="12" t="inlineStr">
        <is>
          <t>Vendor register (16 vendors)</t>
        </is>
      </c>
      <c r="E50" s="11" t="inlineStr">
        <is>
          <t>Beth Kowalski</t>
        </is>
      </c>
      <c r="F50" s="13" t="n">
        <v>46183</v>
      </c>
      <c r="G50" s="13" t="n">
        <v>46192</v>
      </c>
      <c r="H50" s="13" t="n">
        <v>46192</v>
      </c>
      <c r="I50" s="11" t="inlineStr">
        <is>
          <t>Accepted</t>
        </is>
      </c>
      <c r="J50" s="11" t="inlineStr">
        <is>
          <t>As of 2026-06-30</t>
        </is>
      </c>
      <c r="K50" s="12" t="inlineStr">
        <is>
          <t>vendor-risk/vendor-assessment.xlsx</t>
        </is>
      </c>
      <c r="L50" s="11" t="inlineStr">
        <is>
          <t>Yes</t>
        </is>
      </c>
      <c r="M50" s="11" t="inlineStr">
        <is>
          <t>Lead assessor</t>
        </is>
      </c>
      <c r="N50" s="12" t="inlineStr">
        <is>
          <t>5 of 14 Tier 1–2 vendors overdue or never assessed</t>
        </is>
      </c>
      <c r="O50" s="11" t="inlineStr">
        <is>
          <t>Implementation</t>
        </is>
      </c>
      <c r="P50" s="11" t="inlineStr">
        <is>
          <t>Sufficient</t>
        </is>
      </c>
      <c r="Q50" s="12" t="inlineStr"/>
      <c r="R50" s="12" t="inlineStr">
        <is>
          <t>No</t>
        </is>
      </c>
      <c r="S50" s="11">
        <f>IF(H50="",MAX(0,README!$B$4-G50),MAX(0,H50-G50))</f>
        <v/>
      </c>
      <c r="T50" s="12" t="inlineStr"/>
    </row>
    <row r="51">
      <c r="A51" s="11" t="inlineStr">
        <is>
          <t>EVID-050</t>
        </is>
      </c>
      <c r="B51" s="11" t="inlineStr">
        <is>
          <t>SR-6; SA-9</t>
        </is>
      </c>
      <c r="C51" s="12" t="inlineStr">
        <is>
          <t>Quarrystone SOC 2 Type II report and bridge letter</t>
        </is>
      </c>
      <c r="D51" s="12" t="inlineStr">
        <is>
          <t>Quarrystone SOC 2 Type II (2024-10-01 to 2025-09-30) + bridge letter to 2026-03-31</t>
        </is>
      </c>
      <c r="E51" s="11" t="inlineStr">
        <is>
          <t>Beth Kowalski</t>
        </is>
      </c>
      <c r="F51" s="13" t="n">
        <v>46183</v>
      </c>
      <c r="G51" s="13" t="n">
        <v>46192</v>
      </c>
      <c r="H51" s="13" t="n">
        <v>46203</v>
      </c>
      <c r="I51" s="11" t="inlineStr">
        <is>
          <t>Accepted</t>
        </is>
      </c>
      <c r="J51" s="11" t="inlineStr">
        <is>
          <t>2024-10-01 to 2026-03-31</t>
        </is>
      </c>
      <c r="K51" s="12" t="inlineStr">
        <is>
          <t>evidence/SR/EVID-050_quarrystone-soc2-review-workpaper.md</t>
        </is>
      </c>
      <c r="L51" s="11" t="inlineStr">
        <is>
          <t>Yes</t>
        </is>
      </c>
      <c r="M51" s="11" t="inlineStr">
        <is>
          <t>Lead assessor</t>
        </is>
      </c>
      <c r="N51" s="12" t="inlineStr">
        <is>
          <t>Unqualified; 2 exceptions; subservice carve-outs; CUEC not performed by Wrenfield</t>
        </is>
      </c>
      <c r="O51" s="11" t="inlineStr">
        <is>
          <t>Operating Effectiveness</t>
        </is>
      </c>
      <c r="P51" s="11" t="inlineStr">
        <is>
          <t>Sufficient</t>
        </is>
      </c>
      <c r="Q51" s="12" t="inlineStr"/>
      <c r="R51" s="12" t="inlineStr">
        <is>
          <t>No</t>
        </is>
      </c>
      <c r="S51" s="11">
        <f>IF(H51="",MAX(0,README!$B$4-G51),MAX(0,H51-G51))</f>
        <v/>
      </c>
      <c r="T51" s="12" t="inlineStr"/>
    </row>
    <row r="52">
      <c r="A52" s="11" t="inlineStr">
        <is>
          <t>EVID-051</t>
        </is>
      </c>
      <c r="B52" s="11" t="inlineStr">
        <is>
          <t>SR-6</t>
        </is>
      </c>
      <c r="C52" s="12" t="inlineStr">
        <is>
          <t>Quarrystone most recent penetration test report and retest evidence</t>
        </is>
      </c>
      <c r="D52" s="12" t="inlineStr">
        <is>
          <t>Summary letter only (2025-03 test); full report and retest requested</t>
        </is>
      </c>
      <c r="E52" s="11" t="inlineStr">
        <is>
          <t>Beth Kowalski (vendor-sourced)</t>
        </is>
      </c>
      <c r="F52" s="13" t="n">
        <v>46211</v>
      </c>
      <c r="G52" s="13" t="n">
        <v>46241</v>
      </c>
      <c r="H52" s="13" t="n"/>
      <c r="I52" s="11" t="inlineStr">
        <is>
          <t>Requested</t>
        </is>
      </c>
      <c r="J52" s="11" t="inlineStr">
        <is>
          <t>2025-03</t>
        </is>
      </c>
      <c r="K52" s="12" t="inlineStr">
        <is>
          <t>GRC-Vault:/WCP-2026/SR/EVID-051_pending</t>
        </is>
      </c>
      <c r="L52" s="11" t="inlineStr">
        <is>
          <t>No</t>
        </is>
      </c>
      <c r="M52" s="11" t="inlineStr">
        <is>
          <t>Lead assessor</t>
        </is>
      </c>
      <c r="N52" s="12" t="inlineStr">
        <is>
          <t>Outstanding (vendor citing confidentiality; NDA review in progress)</t>
        </is>
      </c>
      <c r="O52" s="11" t="inlineStr">
        <is>
          <t>Design</t>
        </is>
      </c>
      <c r="P52" s="11" t="inlineStr">
        <is>
          <t>Pending</t>
        </is>
      </c>
      <c r="Q52" s="12" t="inlineStr">
        <is>
          <t>Vendor has not produced the report</t>
        </is>
      </c>
      <c r="R52" s="12" t="inlineStr">
        <is>
          <t>Yes: escalated through VP Clinical Analytics; condition in POAM-016</t>
        </is>
      </c>
      <c r="S52" s="11">
        <f>IF(H52="",MAX(0,README!$B$4-G52),MAX(0,H52-G52))</f>
        <v/>
      </c>
      <c r="T52" s="12" t="inlineStr"/>
    </row>
    <row r="53">
      <c r="A53" s="11" t="inlineStr">
        <is>
          <t>EVID-052</t>
        </is>
      </c>
      <c r="B53" s="11" t="inlineStr">
        <is>
          <t>SA-22</t>
        </is>
      </c>
      <c r="C53" s="12" t="inlineStr">
        <is>
          <t>OS/database/runtime inventory with vendor support dates</t>
        </is>
      </c>
      <c r="D53" s="12" t="inlineStr">
        <is>
          <t>Software lifecycle report</t>
        </is>
      </c>
      <c r="E53" s="11" t="inlineStr">
        <is>
          <t>Tomasz Wierzbicki</t>
        </is>
      </c>
      <c r="F53" s="13" t="n">
        <v>46183</v>
      </c>
      <c r="G53" s="13" t="n">
        <v>46192</v>
      </c>
      <c r="H53" s="13" t="n">
        <v>46199</v>
      </c>
      <c r="I53" s="11" t="inlineStr">
        <is>
          <t>Accepted</t>
        </is>
      </c>
      <c r="J53" s="11" t="inlineStr">
        <is>
          <t>As of 2026-06-30</t>
        </is>
      </c>
      <c r="K53" s="12" t="inlineStr">
        <is>
          <t>GRC-Vault:/WCP-2026/SA/EVID-052_eol-inventory.csv</t>
        </is>
      </c>
      <c r="L53" s="11" t="inlineStr">
        <is>
          <t>No</t>
        </is>
      </c>
      <c r="M53" s="11" t="inlineStr">
        <is>
          <t>Lead assessor</t>
        </is>
      </c>
      <c r="N53" s="12" t="inlineStr">
        <is>
          <t>3 unsupported components identified</t>
        </is>
      </c>
      <c r="O53" s="11" t="inlineStr">
        <is>
          <t>Implementation</t>
        </is>
      </c>
      <c r="P53" s="11" t="inlineStr">
        <is>
          <t>Sufficient</t>
        </is>
      </c>
      <c r="Q53" s="12" t="inlineStr"/>
      <c r="R53" s="12" t="inlineStr">
        <is>
          <t>No</t>
        </is>
      </c>
      <c r="S53" s="11">
        <f>IF(H53="",MAX(0,README!$B$4-G53),MAX(0,H53-G53))</f>
        <v/>
      </c>
      <c r="T53" s="12" t="inlineStr"/>
    </row>
    <row r="54">
      <c r="A54" s="11" t="inlineStr">
        <is>
          <t>EVID-053</t>
        </is>
      </c>
      <c r="B54" s="11" t="inlineStr">
        <is>
          <t>SC-7; CM-6</t>
        </is>
      </c>
      <c r="C54" s="12" t="inlineStr">
        <is>
          <t>Security group rules for wf-sftp-01 and all groups with 0.0.0.0/0 ingress</t>
        </is>
      </c>
      <c r="D54" s="12" t="inlineStr">
        <is>
          <t>EC2 DescribeSecurityGroups export</t>
        </is>
      </c>
      <c r="E54" s="11" t="inlineStr">
        <is>
          <t>Tomasz Wierzbicki</t>
        </is>
      </c>
      <c r="F54" s="13" t="n">
        <v>46183</v>
      </c>
      <c r="G54" s="13" t="n">
        <v>46192</v>
      </c>
      <c r="H54" s="13" t="n">
        <v>46205</v>
      </c>
      <c r="I54" s="11" t="inlineStr">
        <is>
          <t>Accepted</t>
        </is>
      </c>
      <c r="J54" s="11" t="inlineStr">
        <is>
          <t>As of 2026-07-02</t>
        </is>
      </c>
      <c r="K54" s="12" t="inlineStr">
        <is>
          <t>evidence/CM/EVID-053_wf-sftp-01-security-group_2026-07-02.json</t>
        </is>
      </c>
      <c r="L54" s="11" t="inlineStr">
        <is>
          <t>Yes</t>
        </is>
      </c>
      <c r="M54" s="11" t="inlineStr">
        <is>
          <t>Lead assessor</t>
        </is>
      </c>
      <c r="N54" s="12" t="inlineStr">
        <is>
          <t>RDP 3389 open to 0.0.0.0/0</t>
        </is>
      </c>
      <c r="O54" s="11" t="inlineStr">
        <is>
          <t>Implementation</t>
        </is>
      </c>
      <c r="P54" s="11" t="inlineStr">
        <is>
          <t>Sufficient</t>
        </is>
      </c>
      <c r="Q54" s="12" t="inlineStr"/>
      <c r="R54" s="12" t="inlineStr">
        <is>
          <t>No</t>
        </is>
      </c>
      <c r="S54" s="11">
        <f>IF(H54="",MAX(0,README!$B$4-G54),MAX(0,H54-G54))</f>
        <v/>
      </c>
      <c r="T54" s="12" t="inlineStr"/>
    </row>
    <row r="55">
      <c r="A55" s="11" t="inlineStr">
        <is>
          <t>EVID-054</t>
        </is>
      </c>
      <c r="B55" s="11" t="inlineStr">
        <is>
          <t>SC-8</t>
        </is>
      </c>
      <c r="C55" s="12" t="inlineStr">
        <is>
          <t>TLS policies and database SSL enforcement; external TLS scan</t>
        </is>
      </c>
      <c r="D55" s="12" t="inlineStr">
        <is>
          <t>ALB/CloudFront policies + RDS parameter group + TLS scan</t>
        </is>
      </c>
      <c r="E55" s="11" t="inlineStr">
        <is>
          <t>Tomasz Wierzbicki</t>
        </is>
      </c>
      <c r="F55" s="13" t="n">
        <v>46183</v>
      </c>
      <c r="G55" s="13" t="n">
        <v>46192</v>
      </c>
      <c r="H55" s="13" t="n">
        <v>46197</v>
      </c>
      <c r="I55" s="11" t="inlineStr">
        <is>
          <t>Accepted</t>
        </is>
      </c>
      <c r="J55" s="11" t="inlineStr">
        <is>
          <t>As of 2026-06-30</t>
        </is>
      </c>
      <c r="K55" s="12" t="inlineStr">
        <is>
          <t>GRC-Vault:/WCP-2026/SC/EVID-054_tls.zip</t>
        </is>
      </c>
      <c r="L55" s="11" t="inlineStr">
        <is>
          <t>No</t>
        </is>
      </c>
      <c r="M55" s="11" t="inlineStr">
        <is>
          <t>Lead assessor</t>
        </is>
      </c>
      <c r="N55" s="12" t="inlineStr">
        <is>
          <t>TLS 1.2+ only; force_ssl on</t>
        </is>
      </c>
      <c r="O55" s="11" t="inlineStr">
        <is>
          <t>Implementation</t>
        </is>
      </c>
      <c r="P55" s="11" t="inlineStr">
        <is>
          <t>Sufficient</t>
        </is>
      </c>
      <c r="Q55" s="12" t="inlineStr"/>
      <c r="R55" s="12" t="inlineStr">
        <is>
          <t>No</t>
        </is>
      </c>
      <c r="S55" s="11">
        <f>IF(H55="",MAX(0,README!$B$4-G55),MAX(0,H55-G55))</f>
        <v/>
      </c>
      <c r="T55" s="12" t="inlineStr"/>
    </row>
    <row r="56">
      <c r="A56" s="11" t="inlineStr">
        <is>
          <t>EVID-055</t>
        </is>
      </c>
      <c r="B56" s="11" t="inlineStr">
        <is>
          <t>SC-12</t>
        </is>
      </c>
      <c r="C56" s="12" t="inlineStr">
        <is>
          <t>KMS key inventory, rotation, key policies</t>
        </is>
      </c>
      <c r="D56" s="12" t="inlineStr">
        <is>
          <t>KMS ListKeys/GetKeyRotationStatus + policies</t>
        </is>
      </c>
      <c r="E56" s="11" t="inlineStr">
        <is>
          <t>Tomasz Wierzbicki</t>
        </is>
      </c>
      <c r="F56" s="13" t="n">
        <v>46183</v>
      </c>
      <c r="G56" s="13" t="n">
        <v>46192</v>
      </c>
      <c r="H56" s="13" t="n">
        <v>46197</v>
      </c>
      <c r="I56" s="11" t="inlineStr">
        <is>
          <t>Accepted</t>
        </is>
      </c>
      <c r="J56" s="11" t="inlineStr">
        <is>
          <t>As of 2026-06-30</t>
        </is>
      </c>
      <c r="K56" s="12" t="inlineStr">
        <is>
          <t>GRC-Vault:/WCP-2026/SC/EVID-055_kms.json</t>
        </is>
      </c>
      <c r="L56" s="11" t="inlineStr">
        <is>
          <t>No</t>
        </is>
      </c>
      <c r="M56" s="11" t="inlineStr">
        <is>
          <t>Lead assessor</t>
        </is>
      </c>
      <c r="N56" s="12" t="inlineStr">
        <is>
          <t>9 of 9 rotation enabled</t>
        </is>
      </c>
      <c r="O56" s="11" t="inlineStr">
        <is>
          <t>Implementation</t>
        </is>
      </c>
      <c r="P56" s="11" t="inlineStr">
        <is>
          <t>Sufficient</t>
        </is>
      </c>
      <c r="Q56" s="12" t="inlineStr"/>
      <c r="R56" s="12" t="inlineStr">
        <is>
          <t>No</t>
        </is>
      </c>
      <c r="S56" s="11">
        <f>IF(H56="",MAX(0,README!$B$4-G56),MAX(0,H56-G56))</f>
        <v/>
      </c>
      <c r="T56" s="12" t="inlineStr"/>
    </row>
    <row r="57">
      <c r="A57" s="11" t="inlineStr">
        <is>
          <t>EVID-056</t>
        </is>
      </c>
      <c r="B57" s="11" t="inlineStr">
        <is>
          <t>SC-28</t>
        </is>
      </c>
      <c r="C57" s="12" t="inlineStr">
        <is>
          <t>Encryption status for all data stores; endpoint encryption compliance</t>
        </is>
      </c>
      <c r="D57" s="12" t="inlineStr">
        <is>
          <t>Config rule results + MDM encryption report</t>
        </is>
      </c>
      <c r="E57" s="11" t="inlineStr">
        <is>
          <t>Tomasz Wierzbicki</t>
        </is>
      </c>
      <c r="F57" s="13" t="n">
        <v>46183</v>
      </c>
      <c r="G57" s="13" t="n">
        <v>46192</v>
      </c>
      <c r="H57" s="13" t="n">
        <v>46197</v>
      </c>
      <c r="I57" s="11" t="inlineStr">
        <is>
          <t>Accepted</t>
        </is>
      </c>
      <c r="J57" s="11" t="inlineStr">
        <is>
          <t>As of 2026-06-30</t>
        </is>
      </c>
      <c r="K57" s="12" t="inlineStr">
        <is>
          <t>GRC-Vault:/WCP-2026/SC/EVID-056_encryption.zip</t>
        </is>
      </c>
      <c r="L57" s="11" t="inlineStr">
        <is>
          <t>No</t>
        </is>
      </c>
      <c r="M57" s="11" t="inlineStr">
        <is>
          <t>Lead assessor</t>
        </is>
      </c>
      <c r="N57" s="12" t="inlineStr">
        <is>
          <t>100% encrypted</t>
        </is>
      </c>
      <c r="O57" s="11" t="inlineStr">
        <is>
          <t>Implementation</t>
        </is>
      </c>
      <c r="P57" s="11" t="inlineStr">
        <is>
          <t>Sufficient</t>
        </is>
      </c>
      <c r="Q57" s="12" t="inlineStr"/>
      <c r="R57" s="12" t="inlineStr">
        <is>
          <t>No</t>
        </is>
      </c>
      <c r="S57" s="11">
        <f>IF(H57="",MAX(0,README!$B$4-G57),MAX(0,H57-G57))</f>
        <v/>
      </c>
      <c r="T57" s="12" t="inlineStr"/>
    </row>
    <row r="58">
      <c r="A58" s="11" t="inlineStr">
        <is>
          <t>EVID-057</t>
        </is>
      </c>
      <c r="B58" s="11" t="inlineStr">
        <is>
          <t>SI-3</t>
        </is>
      </c>
      <c r="C58" s="12" t="inlineStr">
        <is>
          <t>EDR coverage reconciled to inventory</t>
        </is>
      </c>
      <c r="D58" s="12" t="inlineStr">
        <is>
          <t>EDR sensor export + reconciliation</t>
        </is>
      </c>
      <c r="E58" s="11" t="inlineStr">
        <is>
          <t>Owen Castillo</t>
        </is>
      </c>
      <c r="F58" s="13" t="n">
        <v>46183</v>
      </c>
      <c r="G58" s="13" t="n">
        <v>46192</v>
      </c>
      <c r="H58" s="13" t="n">
        <v>46197</v>
      </c>
      <c r="I58" s="11" t="inlineStr">
        <is>
          <t>Accepted</t>
        </is>
      </c>
      <c r="J58" s="11" t="inlineStr">
        <is>
          <t>As of 2026-06-30</t>
        </is>
      </c>
      <c r="K58" s="12" t="inlineStr">
        <is>
          <t>GRC-Vault:/WCP-2026/SI/EVID-057_edr-coverage.csv</t>
        </is>
      </c>
      <c r="L58" s="11" t="inlineStr">
        <is>
          <t>No</t>
        </is>
      </c>
      <c r="M58" s="11" t="inlineStr">
        <is>
          <t>Lead assessor</t>
        </is>
      </c>
      <c r="N58" s="12" t="inlineStr">
        <is>
          <t>358 of 362 endpoints (4 in provisioning); 100% servers</t>
        </is>
      </c>
      <c r="O58" s="11" t="inlineStr">
        <is>
          <t>Implementation</t>
        </is>
      </c>
      <c r="P58" s="11" t="inlineStr">
        <is>
          <t>Sufficient</t>
        </is>
      </c>
      <c r="Q58" s="12" t="inlineStr"/>
      <c r="R58" s="12" t="inlineStr">
        <is>
          <t>No</t>
        </is>
      </c>
      <c r="S58" s="11">
        <f>IF(H58="",MAX(0,README!$B$4-G58),MAX(0,H58-G58))</f>
        <v/>
      </c>
      <c r="T58" s="12" t="inlineStr"/>
    </row>
    <row r="59">
      <c r="A59" s="11" t="inlineStr">
        <is>
          <t>EVID-058</t>
        </is>
      </c>
      <c r="B59" s="11" t="inlineStr">
        <is>
          <t>SI-4; CA-7</t>
        </is>
      </c>
      <c r="C59" s="12" t="inlineStr">
        <is>
          <t>Detection inventory and MDR triage metrics; 10 sample alerts</t>
        </is>
      </c>
      <c r="D59" s="12" t="inlineStr">
        <is>
          <t>Rule inventory (41) + MDR monthly reports + alert samples</t>
        </is>
      </c>
      <c r="E59" s="11" t="inlineStr">
        <is>
          <t>Owen Castillo</t>
        </is>
      </c>
      <c r="F59" s="13" t="n">
        <v>46183</v>
      </c>
      <c r="G59" s="13" t="n">
        <v>46192</v>
      </c>
      <c r="H59" s="13" t="n">
        <v>46199</v>
      </c>
      <c r="I59" s="11" t="inlineStr">
        <is>
          <t>Accepted</t>
        </is>
      </c>
      <c r="J59" s="11" t="inlineStr">
        <is>
          <t>2026-01-01 to 2026-06-30</t>
        </is>
      </c>
      <c r="K59" s="12" t="inlineStr">
        <is>
          <t>GRC-Vault:/WCP-2026/SI/EVID-058_monitoring.zip</t>
        </is>
      </c>
      <c r="L59" s="11" t="inlineStr">
        <is>
          <t>No</t>
        </is>
      </c>
      <c r="M59" s="11" t="inlineStr">
        <is>
          <t>Lead assessor</t>
        </is>
      </c>
      <c r="N59" s="12" t="inlineStr">
        <is>
          <t>97% High alerts triaged within 30 min</t>
        </is>
      </c>
      <c r="O59" s="11" t="inlineStr">
        <is>
          <t>Operating Effectiveness</t>
        </is>
      </c>
      <c r="P59" s="11" t="inlineStr">
        <is>
          <t>Sufficient</t>
        </is>
      </c>
      <c r="Q59" s="12" t="inlineStr"/>
      <c r="R59" s="12" t="inlineStr">
        <is>
          <t>No</t>
        </is>
      </c>
      <c r="S59" s="11">
        <f>IF(H59="",MAX(0,README!$B$4-G59),MAX(0,H59-G59))</f>
        <v/>
      </c>
      <c r="T59" s="12" t="inlineStr"/>
    </row>
    <row r="60">
      <c r="A60" s="11" t="inlineStr">
        <is>
          <t>EVID-059</t>
        </is>
      </c>
      <c r="B60" s="11" t="inlineStr">
        <is>
          <t>SR-2</t>
        </is>
      </c>
      <c r="C60" s="12" t="inlineStr">
        <is>
          <t>Approved C-SCRM plan</t>
        </is>
      </c>
      <c r="D60" s="12" t="inlineStr">
        <is>
          <t>Draft outline (2 pages)</t>
        </is>
      </c>
      <c r="E60" s="11" t="inlineStr">
        <is>
          <t>Beth Kowalski</t>
        </is>
      </c>
      <c r="F60" s="13" t="n">
        <v>46183</v>
      </c>
      <c r="G60" s="13" t="n">
        <v>46192</v>
      </c>
      <c r="H60" s="13" t="n">
        <v>46192</v>
      </c>
      <c r="I60" s="11" t="inlineStr">
        <is>
          <t>Insufficient</t>
        </is>
      </c>
      <c r="J60" s="11" t="inlineStr">
        <is>
          <t>Current</t>
        </is>
      </c>
      <c r="K60" s="12" t="inlineStr">
        <is>
          <t>GRC-Vault:/WCP-2026/SR/EVID-059_cscrm-outline.docx</t>
        </is>
      </c>
      <c r="L60" s="11" t="inlineStr">
        <is>
          <t>No</t>
        </is>
      </c>
      <c r="M60" s="11" t="inlineStr">
        <is>
          <t>Lead assessor</t>
        </is>
      </c>
      <c r="N60" s="12" t="inlineStr">
        <is>
          <t>Outline only; not approved</t>
        </is>
      </c>
      <c r="O60" s="11" t="inlineStr">
        <is>
          <t>Design</t>
        </is>
      </c>
      <c r="P60" s="11" t="inlineStr">
        <is>
          <t>Insufficient</t>
        </is>
      </c>
      <c r="Q60" s="12" t="inlineStr">
        <is>
          <t>No C-SCRM plan</t>
        </is>
      </c>
      <c r="R60" s="12" t="inlineStr">
        <is>
          <t>Yes: POAM-015</t>
        </is>
      </c>
      <c r="S60" s="11">
        <f>IF(H60="",MAX(0,README!$B$4-G60),MAX(0,H60-G60))</f>
        <v/>
      </c>
      <c r="T60" s="12" t="inlineStr"/>
    </row>
    <row r="61">
      <c r="A61" s="11" t="inlineStr">
        <is>
          <t>EVID-060</t>
        </is>
      </c>
      <c r="B61" s="11" t="inlineStr">
        <is>
          <t>RA-7; AC-5; PM-9</t>
        </is>
      </c>
      <c r="C61" s="12" t="inlineStr">
        <is>
          <t>Signed risk acceptance for SoD conflict</t>
        </is>
      </c>
      <c r="D61" s="12" t="inlineStr">
        <is>
          <t>RACC-001 (signed CFO + CISO 2026-08-12)</t>
        </is>
      </c>
      <c r="E61" s="11" t="inlineStr">
        <is>
          <t>Laura Brenneman</t>
        </is>
      </c>
      <c r="F61" s="13" t="n">
        <v>46241</v>
      </c>
      <c r="G61" s="13" t="n">
        <v>46248</v>
      </c>
      <c r="H61" s="13" t="n">
        <v>46246</v>
      </c>
      <c r="I61" s="11" t="inlineStr">
        <is>
          <t>Accepted</t>
        </is>
      </c>
      <c r="J61" s="11" t="inlineStr">
        <is>
          <t>2026-08-12 to 2027-03-31</t>
        </is>
      </c>
      <c r="K61" s="12" t="inlineStr">
        <is>
          <t>risk/risk-acceptance/RACC-001.md</t>
        </is>
      </c>
      <c r="L61" s="11" t="inlineStr">
        <is>
          <t>Yes</t>
        </is>
      </c>
      <c r="M61" s="11" t="inlineStr">
        <is>
          <t>Lead assessor</t>
        </is>
      </c>
      <c r="N61" s="12" t="inlineStr">
        <is>
          <t>Signed at correct authority level with compensating control</t>
        </is>
      </c>
      <c r="O61" s="11" t="inlineStr">
        <is>
          <t>Design</t>
        </is>
      </c>
      <c r="P61" s="11" t="inlineStr">
        <is>
          <t>Sufficient</t>
        </is>
      </c>
      <c r="Q61" s="12" t="inlineStr"/>
      <c r="R61" s="12" t="inlineStr">
        <is>
          <t>No</t>
        </is>
      </c>
      <c r="S61" s="11">
        <f>IF(H61="",MAX(0,README!$B$4-G61),MAX(0,H61-G61))</f>
        <v/>
      </c>
      <c r="T61" s="12" t="inlineStr"/>
    </row>
    <row r="62">
      <c r="A62" s="11" t="inlineStr">
        <is>
          <t>EVID-061</t>
        </is>
      </c>
      <c r="B62" s="11" t="inlineStr">
        <is>
          <t>AC-2; AC-2(3); PS-4; PS-5</t>
        </is>
      </c>
      <c r="C62" s="12" t="inlineStr">
        <is>
          <t>Revocation tickets for AR-EX-01/02/04/12/13/14 and all terminations 2026-07-01 to 2026-09-09 with de-provisioning timestamps</t>
        </is>
      </c>
      <c r="D62" s="12" t="inlineStr">
        <is>
          <t>Jira IT tickets + Okta/portal deactivation records</t>
        </is>
      </c>
      <c r="E62" s="11" t="inlineStr">
        <is>
          <t>Nadia Rahman</t>
        </is>
      </c>
      <c r="F62" s="13" t="n">
        <v>46249</v>
      </c>
      <c r="G62" s="13" t="n">
        <v>46275</v>
      </c>
      <c r="H62" s="13" t="n">
        <v>46275</v>
      </c>
      <c r="I62" s="11" t="inlineStr">
        <is>
          <t>Closed</t>
        </is>
      </c>
      <c r="J62" s="11" t="inlineStr">
        <is>
          <t>2026-07-01 to 2026-09-09</t>
        </is>
      </c>
      <c r="K62" s="12" t="inlineStr">
        <is>
          <t>evidence/AC/EVID-061_terminations-and-deactivations_2026-07-01_to_09-09.csv</t>
        </is>
      </c>
      <c r="L62" s="11" t="inlineStr">
        <is>
          <t>Yes</t>
        </is>
      </c>
      <c r="M62" s="11" t="inlineStr">
        <is>
          <t>Lead assessor</t>
        </is>
      </c>
      <c r="N62" s="12" t="inlineStr">
        <is>
          <t>7 of 7 terminations within 24h; all revocations verified in post-change exports</t>
        </is>
      </c>
      <c r="O62" s="11" t="inlineStr">
        <is>
          <t>Operating Effectiveness</t>
        </is>
      </c>
      <c r="P62" s="11" t="inlineStr">
        <is>
          <t>Sufficient</t>
        </is>
      </c>
      <c r="Q62" s="12" t="inlineStr"/>
      <c r="R62" s="12" t="inlineStr">
        <is>
          <t>No</t>
        </is>
      </c>
      <c r="S62" s="11">
        <f>IF(H62="",MAX(0,README!$B$4-G62),MAX(0,H62-G62))</f>
        <v/>
      </c>
      <c r="T62" s="12" t="inlineStr"/>
    </row>
    <row r="63">
      <c r="A63" s="11" t="inlineStr">
        <is>
          <t>EVID-062</t>
        </is>
      </c>
      <c r="B63" s="11" t="inlineStr">
        <is>
          <t>AC-2(1); AC-2(3)</t>
        </is>
      </c>
      <c r="C63" s="12" t="inlineStr">
        <is>
          <t>HR-to-Okta reconciliation job design and last 5 run outputs</t>
        </is>
      </c>
      <c r="D63" s="12" t="inlineStr">
        <is>
          <t>Job output 2026-09-04 to 2026-09-10 + job runbook</t>
        </is>
      </c>
      <c r="E63" s="11" t="inlineStr">
        <is>
          <t>Nadia Rahman</t>
        </is>
      </c>
      <c r="F63" s="13" t="n">
        <v>46249</v>
      </c>
      <c r="G63" s="13" t="n">
        <v>46275</v>
      </c>
      <c r="H63" s="13" t="n">
        <v>46275</v>
      </c>
      <c r="I63" s="11" t="inlineStr">
        <is>
          <t>Closed</t>
        </is>
      </c>
      <c r="J63" s="11" t="inlineStr">
        <is>
          <t>2026-09-04 to 2026-09-10</t>
        </is>
      </c>
      <c r="K63" s="12" t="inlineStr">
        <is>
          <t>evidence/AC/EVID-062_hr-okta-reconciliation-job_2026-09-10.csv</t>
        </is>
      </c>
      <c r="L63" s="11" t="inlineStr">
        <is>
          <t>Yes</t>
        </is>
      </c>
      <c r="M63" s="11" t="inlineStr">
        <is>
          <t>Lead assessor</t>
        </is>
      </c>
      <c r="N63" s="12" t="inlineStr">
        <is>
          <t>0 exceptions across 5 runs; covers Okta + AWS IAM + portal + contractor end dates</t>
        </is>
      </c>
      <c r="O63" s="11" t="inlineStr">
        <is>
          <t>Operating Effectiveness</t>
        </is>
      </c>
      <c r="P63" s="11" t="inlineStr">
        <is>
          <t>Sufficient</t>
        </is>
      </c>
      <c r="Q63" s="12" t="inlineStr"/>
      <c r="R63" s="12" t="inlineStr">
        <is>
          <t>No</t>
        </is>
      </c>
      <c r="S63" s="11">
        <f>IF(H63="",MAX(0,README!$B$4-G63),MAX(0,H63-G63))</f>
        <v/>
      </c>
      <c r="T63" s="12" t="inlineStr"/>
    </row>
    <row r="64">
      <c r="A64" s="11" t="inlineStr">
        <is>
          <t>EVID-063</t>
        </is>
      </c>
      <c r="B64" s="11" t="inlineStr">
        <is>
          <t>IA-2(1); IA-2(2)</t>
        </is>
      </c>
      <c r="C64" s="12" t="inlineStr">
        <is>
          <t>Okta policy export after remediation + group deletion record</t>
        </is>
      </c>
      <c r="D64" s="12" t="inlineStr">
        <is>
          <t>Okta Policies API export 2026-09-04</t>
        </is>
      </c>
      <c r="E64" s="11" t="inlineStr">
        <is>
          <t>Nadia Rahman</t>
        </is>
      </c>
      <c r="F64" s="13" t="n">
        <v>46249</v>
      </c>
      <c r="G64" s="13" t="n">
        <v>46270</v>
      </c>
      <c r="H64" s="13" t="n">
        <v>46269</v>
      </c>
      <c r="I64" s="11" t="inlineStr">
        <is>
          <t>Closed</t>
        </is>
      </c>
      <c r="J64" s="11" t="inlineStr">
        <is>
          <t>As of 2026-09-04</t>
        </is>
      </c>
      <c r="K64" s="12" t="inlineStr">
        <is>
          <t>evidence/IA/EVID-063_okta-authentication-policies_2026-09-04.json</t>
        </is>
      </c>
      <c r="L64" s="11" t="inlineStr">
        <is>
          <t>Yes</t>
        </is>
      </c>
      <c r="M64" s="11" t="inlineStr">
        <is>
          <t>Lead assessor</t>
        </is>
      </c>
      <c r="N64" s="12" t="inlineStr">
        <is>
          <t>Exemption policy/group deleted; admin apps phishing-resistant; password-only sign-in denied (re-performed)</t>
        </is>
      </c>
      <c r="O64" s="11" t="inlineStr">
        <is>
          <t>Implementation</t>
        </is>
      </c>
      <c r="P64" s="11" t="inlineStr">
        <is>
          <t>Sufficient</t>
        </is>
      </c>
      <c r="Q64" s="12" t="inlineStr"/>
      <c r="R64" s="12" t="inlineStr">
        <is>
          <t>No</t>
        </is>
      </c>
      <c r="S64" s="11">
        <f>IF(H64="",MAX(0,README!$B$4-G64),MAX(0,H64-G64))</f>
        <v/>
      </c>
      <c r="T64" s="12" t="inlineStr"/>
    </row>
    <row r="65">
      <c r="A65" s="11" t="inlineStr">
        <is>
          <t>EVID-064</t>
        </is>
      </c>
      <c r="B65" s="11" t="inlineStr">
        <is>
          <t>IA-2(1); IA-5; AC-2(3)</t>
        </is>
      </c>
      <c r="C65" s="12" t="inlineStr">
        <is>
          <t>AWS IAM credential report after remediation</t>
        </is>
      </c>
      <c r="D65" s="12" t="inlineStr">
        <is>
          <t>IAM credential report 2026-09-04</t>
        </is>
      </c>
      <c r="E65" s="11" t="inlineStr">
        <is>
          <t>Tomasz Wierzbicki</t>
        </is>
      </c>
      <c r="F65" s="13" t="n">
        <v>46249</v>
      </c>
      <c r="G65" s="13" t="n">
        <v>46270</v>
      </c>
      <c r="H65" s="13" t="n">
        <v>46269</v>
      </c>
      <c r="I65" s="11" t="inlineStr">
        <is>
          <t>Closed</t>
        </is>
      </c>
      <c r="J65" s="11" t="inlineStr">
        <is>
          <t>As of 2026-09-04</t>
        </is>
      </c>
      <c r="K65" s="12" t="inlineStr">
        <is>
          <t>evidence/IA/EVID-064_aws-iam-credential-report_2026-09-04.csv</t>
        </is>
      </c>
      <c r="L65" s="11" t="inlineStr">
        <is>
          <t>Yes</t>
        </is>
      </c>
      <c r="M65" s="11" t="inlineStr">
        <is>
          <t>Lead assessor</t>
        </is>
      </c>
      <c r="N65" s="12" t="inlineStr">
        <is>
          <t>Only break-glass IAM user remains (hardware MFA, no keys)</t>
        </is>
      </c>
      <c r="O65" s="11" t="inlineStr">
        <is>
          <t>Implementation</t>
        </is>
      </c>
      <c r="P65" s="11" t="inlineStr">
        <is>
          <t>Sufficient</t>
        </is>
      </c>
      <c r="Q65" s="12" t="inlineStr"/>
      <c r="R65" s="12" t="inlineStr">
        <is>
          <t>No</t>
        </is>
      </c>
      <c r="S65" s="11">
        <f>IF(H65="",MAX(0,README!$B$4-G65),MAX(0,H65-G65))</f>
        <v/>
      </c>
      <c r="T65" s="12" t="inlineStr"/>
    </row>
    <row r="66">
      <c r="A66" s="11" t="inlineStr">
        <is>
          <t>EVID-065</t>
        </is>
      </c>
      <c r="B66" s="11" t="inlineStr">
        <is>
          <t>AC-2; IA-5</t>
        </is>
      </c>
      <c r="C66" s="12" t="inlineStr">
        <is>
          <t>Updated service-account register showing owners, rotation, federation changes</t>
        </is>
      </c>
      <c r="D66" s="12" t="inlineStr">
        <is>
          <t>Service account register v2026-09 + change tickets</t>
        </is>
      </c>
      <c r="E66" s="11" t="inlineStr">
        <is>
          <t>Nadia Rahman</t>
        </is>
      </c>
      <c r="F66" s="13" t="n">
        <v>46249</v>
      </c>
      <c r="G66" s="13" t="n">
        <v>46277</v>
      </c>
      <c r="H66" s="13" t="n">
        <v>46276</v>
      </c>
      <c r="I66" s="11" t="inlineStr">
        <is>
          <t>Closed</t>
        </is>
      </c>
      <c r="J66" s="11" t="inlineStr">
        <is>
          <t>As of 2026-09-11</t>
        </is>
      </c>
      <c r="K66" s="12" t="inlineStr">
        <is>
          <t>GRC-Vault:/WCP-2026/IA/EVID-065_service-register-v2026-09.csv</t>
        </is>
      </c>
      <c r="L66" s="11" t="inlineStr">
        <is>
          <t>No</t>
        </is>
      </c>
      <c r="M66" s="11" t="inlineStr">
        <is>
          <t>Lead assessor</t>
        </is>
      </c>
      <c r="N66" s="12" t="inlineStr">
        <is>
          <t>All 13 owned; stale credentials rotated or federated; shared EDR login disabled</t>
        </is>
      </c>
      <c r="O66" s="11" t="inlineStr">
        <is>
          <t>Implementation</t>
        </is>
      </c>
      <c r="P66" s="11" t="inlineStr">
        <is>
          <t>Sufficient</t>
        </is>
      </c>
      <c r="Q66" s="12" t="inlineStr"/>
      <c r="R66" s="12" t="inlineStr">
        <is>
          <t>No</t>
        </is>
      </c>
      <c r="S66" s="11">
        <f>IF(H66="",MAX(0,README!$B$4-G66),MAX(0,H66-G66))</f>
        <v/>
      </c>
      <c r="T66" s="12" t="inlineStr"/>
    </row>
    <row r="67">
      <c r="A67" s="11" t="inlineStr">
        <is>
          <t>EVID-066</t>
        </is>
      </c>
      <c r="B67" s="11" t="inlineStr">
        <is>
          <t>PS-7</t>
        </is>
      </c>
      <c r="C67" s="12" t="inlineStr">
        <is>
          <t>Contractor end-date sync report and SOW amendment</t>
        </is>
      </c>
      <c r="D67" s="12" t="inlineStr">
        <is>
          <t>Okta account-expiry report + SOW 2025-061 amendment 1</t>
        </is>
      </c>
      <c r="E67" s="11" t="inlineStr">
        <is>
          <t>Sofia Ricci</t>
        </is>
      </c>
      <c r="F67" s="13" t="n">
        <v>46249</v>
      </c>
      <c r="G67" s="13" t="n">
        <v>46275</v>
      </c>
      <c r="H67" s="13" t="n">
        <v>46273</v>
      </c>
      <c r="I67" s="11" t="inlineStr">
        <is>
          <t>Closed</t>
        </is>
      </c>
      <c r="J67" s="11" t="inlineStr">
        <is>
          <t>As of 2026-09-08</t>
        </is>
      </c>
      <c r="K67" s="12" t="inlineStr">
        <is>
          <t>GRC-Vault:/WCP-2026/PS/EVID-066_contractor-expiry.csv</t>
        </is>
      </c>
      <c r="L67" s="11" t="inlineStr">
        <is>
          <t>No</t>
        </is>
      </c>
      <c r="M67" s="11" t="inlineStr">
        <is>
          <t>Lead assessor</t>
        </is>
      </c>
      <c r="N67" s="12" t="inlineStr">
        <is>
          <t>All contractor accounts carry expiry = SOW end date; awu amendment executed 2026-07-22</t>
        </is>
      </c>
      <c r="O67" s="11" t="inlineStr">
        <is>
          <t>Implementation</t>
        </is>
      </c>
      <c r="P67" s="11" t="inlineStr">
        <is>
          <t>Sufficient</t>
        </is>
      </c>
      <c r="Q67" s="12" t="inlineStr"/>
      <c r="R67" s="12" t="inlineStr">
        <is>
          <t>No</t>
        </is>
      </c>
      <c r="S67" s="11">
        <f>IF(H67="",MAX(0,README!$B$4-G67),MAX(0,H67-G67))</f>
        <v/>
      </c>
      <c r="T67" s="12" t="inlineStr"/>
    </row>
    <row r="68">
      <c r="A68" s="11" t="inlineStr">
        <is>
          <t>EVID-067</t>
        </is>
      </c>
      <c r="B68" s="11" t="inlineStr">
        <is>
          <t>AU-11</t>
        </is>
      </c>
      <c r="C68" s="12" t="inlineStr">
        <is>
          <t>Retention configuration after change + oldest-record checks</t>
        </is>
      </c>
      <c r="D68" s="12" t="inlineStr">
        <is>
          <t>S3 lifecycle + CloudWatch subscription + SIEM archive config + object age query</t>
        </is>
      </c>
      <c r="E68" s="11" t="inlineStr">
        <is>
          <t>Owen Castillo</t>
        </is>
      </c>
      <c r="F68" s="13" t="n">
        <v>46249</v>
      </c>
      <c r="G68" s="13" t="n">
        <v>46280</v>
      </c>
      <c r="H68" s="13" t="n">
        <v>46277</v>
      </c>
      <c r="I68" s="11" t="inlineStr">
        <is>
          <t>Closed</t>
        </is>
      </c>
      <c r="J68" s="11" t="inlineStr">
        <is>
          <t>As of 2026-09-12</t>
        </is>
      </c>
      <c r="K68" s="12" t="inlineStr">
        <is>
          <t>evidence/AU/EVID-067_log-retention-config_2026-09-12.json</t>
        </is>
      </c>
      <c r="L68" s="11" t="inlineStr">
        <is>
          <t>Yes</t>
        </is>
      </c>
      <c r="M68" s="11" t="inlineStr">
        <is>
          <t>Lead assessor</t>
        </is>
      </c>
      <c r="N68" s="12" t="inlineStr">
        <is>
          <t>400-day retention; objects from 2026-03-20 still present (182 days)</t>
        </is>
      </c>
      <c r="O68" s="11" t="inlineStr">
        <is>
          <t>Implementation</t>
        </is>
      </c>
      <c r="P68" s="11" t="inlineStr">
        <is>
          <t>Sufficient</t>
        </is>
      </c>
      <c r="Q68" s="12" t="inlineStr"/>
      <c r="R68" s="12" t="inlineStr">
        <is>
          <t>No</t>
        </is>
      </c>
      <c r="S68" s="11">
        <f>IF(H68="",MAX(0,README!$B$4-G68),MAX(0,H68-G68))</f>
        <v/>
      </c>
      <c r="T68" s="12" t="inlineStr"/>
    </row>
    <row r="69">
      <c r="A69" s="11" t="inlineStr">
        <is>
          <t>EVID-068</t>
        </is>
      </c>
      <c r="B69" s="11" t="inlineStr">
        <is>
          <t>SC-7; CM-6</t>
        </is>
      </c>
      <c r="C69" s="12" t="inlineStr">
        <is>
          <t>Security group change record and Security Hub re-evaluation</t>
        </is>
      </c>
      <c r="D69" s="12" t="inlineStr">
        <is>
          <t>CHG-2026-0521 + SG export + Security Hub PASSED status</t>
        </is>
      </c>
      <c r="E69" s="11" t="inlineStr">
        <is>
          <t>Tomasz Wierzbicki</t>
        </is>
      </c>
      <c r="F69" s="13" t="n">
        <v>46205</v>
      </c>
      <c r="G69" s="13" t="n">
        <v>46213</v>
      </c>
      <c r="H69" s="13" t="n">
        <v>46213</v>
      </c>
      <c r="I69" s="11" t="inlineStr">
        <is>
          <t>Closed</t>
        </is>
      </c>
      <c r="J69" s="11" t="inlineStr">
        <is>
          <t>As of 2026-07-10</t>
        </is>
      </c>
      <c r="K69" s="12" t="inlineStr">
        <is>
          <t>GRC-Vault:/WCP-2026/SC/EVID-068_sg-fix.zip</t>
        </is>
      </c>
      <c r="L69" s="11" t="inlineStr">
        <is>
          <t>No</t>
        </is>
      </c>
      <c r="M69" s="11" t="inlineStr">
        <is>
          <t>Lead assessor</t>
        </is>
      </c>
      <c r="N69" s="12" t="inlineStr">
        <is>
          <t>3389 rule removed; admin via SSM only; finding PASSED</t>
        </is>
      </c>
      <c r="O69" s="11" t="inlineStr">
        <is>
          <t>Implementation</t>
        </is>
      </c>
      <c r="P69" s="11" t="inlineStr">
        <is>
          <t>Sufficient</t>
        </is>
      </c>
      <c r="Q69" s="12" t="inlineStr"/>
      <c r="R69" s="12" t="inlineStr">
        <is>
          <t>No</t>
        </is>
      </c>
      <c r="S69" s="11">
        <f>IF(H69="",MAX(0,README!$B$4-G69),MAX(0,H69-G69))</f>
        <v/>
      </c>
      <c r="T69" s="12" t="inlineStr"/>
    </row>
    <row r="70">
      <c r="A70" s="11" t="inlineStr">
        <is>
          <t>EVID-069</t>
        </is>
      </c>
      <c r="B70" s="11" t="inlineStr">
        <is>
          <t>CP-9(1)</t>
        </is>
      </c>
      <c r="C70" s="12" t="inlineStr">
        <is>
          <t>Restore test record with timings and integrity checks</t>
        </is>
      </c>
      <c r="D70" s="12" t="inlineStr">
        <is>
          <t>Restore test record 2026-08-27 (assessor observed)</t>
        </is>
      </c>
      <c r="E70" s="11" t="inlineStr">
        <is>
          <t>Tomasz Wierzbicki</t>
        </is>
      </c>
      <c r="F70" s="13" t="n">
        <v>46249</v>
      </c>
      <c r="G70" s="13" t="n">
        <v>46266</v>
      </c>
      <c r="H70" s="13" t="n">
        <v>46262</v>
      </c>
      <c r="I70" s="11" t="inlineStr">
        <is>
          <t>Closed</t>
        </is>
      </c>
      <c r="J70" s="11" t="inlineStr">
        <is>
          <t>2026-08-27</t>
        </is>
      </c>
      <c r="K70" s="12" t="inlineStr">
        <is>
          <t>evidence/CP/EVID-069_restore-test-record_2026-08-27.md</t>
        </is>
      </c>
      <c r="L70" s="11" t="inlineStr">
        <is>
          <t>Yes</t>
        </is>
      </c>
      <c r="M70" s="11" t="inlineStr">
        <is>
          <t>Lead assessor</t>
        </is>
      </c>
      <c r="N70" s="12" t="inlineStr">
        <is>
          <t>RTO 3h41m (target 4h); data loss 11 min (RPO 1h); integrity checks passed</t>
        </is>
      </c>
      <c r="O70" s="11" t="inlineStr">
        <is>
          <t>Operating Effectiveness</t>
        </is>
      </c>
      <c r="P70" s="11" t="inlineStr">
        <is>
          <t>Sufficient</t>
        </is>
      </c>
      <c r="Q70" s="12" t="inlineStr"/>
      <c r="R70" s="12" t="inlineStr">
        <is>
          <t>No</t>
        </is>
      </c>
      <c r="S70" s="11">
        <f>IF(H70="",MAX(0,README!$B$4-G70),MAX(0,H70-G70))</f>
        <v/>
      </c>
      <c r="T70" s="12" t="inlineStr"/>
    </row>
    <row r="71">
      <c r="A71" s="11" t="inlineStr">
        <is>
          <t>EVID-070</t>
        </is>
      </c>
      <c r="B71" s="11" t="inlineStr">
        <is>
          <t>AT-2</t>
        </is>
      </c>
      <c r="C71" s="12" t="inlineStr">
        <is>
          <t>LMS completion report after enforcement</t>
        </is>
      </c>
      <c r="D71" s="12" t="inlineStr">
        <is>
          <t>LMS report 2026-09-12 (344 of 347; 3 on leave)</t>
        </is>
      </c>
      <c r="E71" s="11" t="inlineStr">
        <is>
          <t>Denise Yamamoto</t>
        </is>
      </c>
      <c r="F71" s="13" t="n">
        <v>46249</v>
      </c>
      <c r="G71" s="13" t="n">
        <v>46280</v>
      </c>
      <c r="H71" s="13" t="n">
        <v>46279</v>
      </c>
      <c r="I71" s="11" t="inlineStr">
        <is>
          <t>Under Review</t>
        </is>
      </c>
      <c r="J71" s="11" t="inlineStr">
        <is>
          <t>As of 2026-09-12</t>
        </is>
      </c>
      <c r="K71" s="12" t="inlineStr">
        <is>
          <t>GRC-Vault:/WCP-2026/AT/EVID-070_lms-completion-2026-09-12.csv</t>
        </is>
      </c>
      <c r="L71" s="11" t="inlineStr">
        <is>
          <t>No</t>
        </is>
      </c>
      <c r="M71" s="11" t="inlineStr">
        <is>
          <t>Lead assessor</t>
        </is>
      </c>
      <c r="N71" s="12" t="inlineStr">
        <is>
          <t>In review: verifying leave records for 3 exceptions against PeopleHub</t>
        </is>
      </c>
      <c r="O71" s="11" t="inlineStr">
        <is>
          <t>Operating Effectiveness</t>
        </is>
      </c>
      <c r="P71" s="11" t="inlineStr">
        <is>
          <t>Pending</t>
        </is>
      </c>
      <c r="Q71" s="12" t="inlineStr"/>
      <c r="R71" s="12" t="inlineStr">
        <is>
          <t>Yes: complete review by 2026-09-25</t>
        </is>
      </c>
      <c r="S71" s="11">
        <f>IF(H71="",MAX(0,README!$B$4-G71),MAX(0,H71-G71))</f>
        <v/>
      </c>
      <c r="T71" s="12" t="inlineStr"/>
    </row>
    <row r="72">
      <c r="A72" s="11" t="inlineStr">
        <is>
          <t>EVID-071</t>
        </is>
      </c>
      <c r="B72" s="11" t="inlineStr">
        <is>
          <t>AC-6; AC-6(5)</t>
        </is>
      </c>
      <c r="C72" s="12" t="inlineStr">
        <is>
          <t>Just-in-time elevation workflow design and a live elevation record</t>
        </is>
      </c>
      <c r="D72" s="12" t="inlineStr">
        <is>
          <t>Design doc + screenshot of approval screen</t>
        </is>
      </c>
      <c r="E72" s="11" t="inlineStr">
        <is>
          <t>Tomasz Wierzbicki</t>
        </is>
      </c>
      <c r="F72" s="13" t="n">
        <v>46249</v>
      </c>
      <c r="G72" s="13" t="n">
        <v>46277</v>
      </c>
      <c r="H72" s="13" t="n">
        <v>46276</v>
      </c>
      <c r="I72" s="11" t="inlineStr">
        <is>
          <t>Rework Required</t>
        </is>
      </c>
      <c r="J72" s="11" t="inlineStr">
        <is>
          <t>As of 2026-09-10</t>
        </is>
      </c>
      <c r="K72" s="12" t="inlineStr">
        <is>
          <t>GRC-Vault:/WCP-2026/AC/EVID-071_jit-design.pdf</t>
        </is>
      </c>
      <c r="L72" s="11" t="inlineStr">
        <is>
          <t>No</t>
        </is>
      </c>
      <c r="M72" s="11" t="inlineStr">
        <is>
          <t>Lead assessor</t>
        </is>
      </c>
      <c r="N72" s="12" t="inlineStr">
        <is>
          <t>Screenshot does not show a live elevation, approver, session expiry, or CloudTrail record</t>
        </is>
      </c>
      <c r="O72" s="11" t="inlineStr">
        <is>
          <t>Design</t>
        </is>
      </c>
      <c r="P72" s="11" t="inlineStr">
        <is>
          <t>Insufficient (rework)</t>
        </is>
      </c>
      <c r="Q72" s="12" t="inlineStr">
        <is>
          <t>Design-only evidence for an operating control</t>
        </is>
      </c>
      <c r="R72" s="12" t="inlineStr">
        <is>
          <t>Yes: provide a live elevation record with CloudTrail AssumeRole event and auto-expiry</t>
        </is>
      </c>
      <c r="S72" s="11">
        <f>IF(H72="",MAX(0,README!$B$4-G72),MAX(0,H72-G72))</f>
        <v/>
      </c>
      <c r="T72" s="12" t="inlineStr"/>
    </row>
    <row r="73">
      <c r="A73" s="11" t="inlineStr">
        <is>
          <t>EVID-072</t>
        </is>
      </c>
      <c r="B73" s="11" t="inlineStr">
        <is>
          <t>AU-6</t>
        </is>
      </c>
      <c r="C73" s="12" t="inlineStr">
        <is>
          <t>Weekly review tickets W27–W37 after the backup-reviewer change</t>
        </is>
      </c>
      <c r="D73" s="12" t="inlineStr">
        <is>
          <t>SEC ticket export W27–W37</t>
        </is>
      </c>
      <c r="E73" s="11" t="inlineStr">
        <is>
          <t>Owen Castillo</t>
        </is>
      </c>
      <c r="F73" s="13" t="n">
        <v>46249</v>
      </c>
      <c r="G73" s="13" t="n">
        <v>46280</v>
      </c>
      <c r="H73" s="13" t="n">
        <v>46281</v>
      </c>
      <c r="I73" s="11" t="inlineStr">
        <is>
          <t>Received</t>
        </is>
      </c>
      <c r="J73" s="11" t="inlineStr">
        <is>
          <t>2026-W27 to 2026-W37</t>
        </is>
      </c>
      <c r="K73" s="12" t="inlineStr">
        <is>
          <t>GRC-Vault:/WCP-2026/AU/EVID-072_reviews-W27-W37.csv</t>
        </is>
      </c>
      <c r="L73" s="11" t="inlineStr">
        <is>
          <t>No</t>
        </is>
      </c>
      <c r="M73" s="11" t="inlineStr">
        <is>
          <t>Lead assessor</t>
        </is>
      </c>
      <c r="N73" s="12" t="inlineStr">
        <is>
          <t>Not yet reviewed (received after the due date)</t>
        </is>
      </c>
      <c r="O73" s="11" t="inlineStr">
        <is>
          <t>Operating Effectiveness</t>
        </is>
      </c>
      <c r="P73" s="11" t="inlineStr">
        <is>
          <t>Pending</t>
        </is>
      </c>
      <c r="Q73" s="12" t="inlineStr"/>
      <c r="R73" s="12" t="inlineStr">
        <is>
          <t>Yes: review by 2026-09-25</t>
        </is>
      </c>
      <c r="S73" s="11">
        <f>IF(H73="",MAX(0,README!$B$4-G73),MAX(0,H73-G73))</f>
        <v/>
      </c>
      <c r="T73" s="12" t="inlineStr"/>
    </row>
    <row r="74">
      <c r="A74" s="11" t="inlineStr">
        <is>
          <t>EVID-073</t>
        </is>
      </c>
      <c r="B74" s="11" t="inlineStr">
        <is>
          <t>SA-9; SR-6</t>
        </is>
      </c>
      <c r="C74" s="12" t="inlineStr">
        <is>
          <t>Quarrystone contract amendment (redline) and interim US-only access confirmation</t>
        </is>
      </c>
      <c r="D74" s="12" t="inlineStr">
        <is>
          <t>Amendment redline v3 + vendor letter confirming offshore access suspended 2026-07-24</t>
        </is>
      </c>
      <c r="E74" s="11" t="inlineStr">
        <is>
          <t>Beth Kowalski</t>
        </is>
      </c>
      <c r="F74" s="13" t="n">
        <v>46249</v>
      </c>
      <c r="G74" s="13" t="n">
        <v>46295</v>
      </c>
      <c r="H74" s="13" t="n">
        <v>46280</v>
      </c>
      <c r="I74" s="11" t="inlineStr">
        <is>
          <t>Under Review</t>
        </is>
      </c>
      <c r="J74" s="11" t="inlineStr">
        <is>
          <t>As of 2026-09-15</t>
        </is>
      </c>
      <c r="K74" s="12" t="inlineStr">
        <is>
          <t>GRC-Vault:/WCP-2026/SR/EVID-073_quarrystone-amendment-v3.pdf</t>
        </is>
      </c>
      <c r="L74" s="11" t="inlineStr">
        <is>
          <t>No</t>
        </is>
      </c>
      <c r="M74" s="11" t="inlineStr">
        <is>
          <t>Lead assessor</t>
        </is>
      </c>
      <c r="N74" s="12" t="inlineStr">
        <is>
          <t>Letter accepted as interim containment; amendment not yet executed</t>
        </is>
      </c>
      <c r="O74" s="11" t="inlineStr">
        <is>
          <t>Design</t>
        </is>
      </c>
      <c r="P74" s="11" t="inlineStr">
        <is>
          <t>Pending</t>
        </is>
      </c>
      <c r="Q74" s="12" t="inlineStr"/>
      <c r="R74" s="12" t="inlineStr">
        <is>
          <t>Yes: executed amendment required before SHCA data flows</t>
        </is>
      </c>
      <c r="S74" s="11">
        <f>IF(H74="",MAX(0,README!$B$4-G74),MAX(0,H74-G74))</f>
        <v/>
      </c>
      <c r="T74" s="12" t="inlineStr"/>
    </row>
    <row r="75">
      <c r="A75" s="11" t="inlineStr">
        <is>
          <t>EVID-074</t>
        </is>
      </c>
      <c r="B75" s="11" t="inlineStr">
        <is>
          <t>AC-6(7)</t>
        </is>
      </c>
      <c r="C75" s="12" t="inlineStr">
        <is>
          <t>Q3 2026 privileged access certification (new design)</t>
        </is>
      </c>
      <c r="D75" s="12" t="inlineStr">
        <is>
          <t>Campaign in progress</t>
        </is>
      </c>
      <c r="E75" s="11" t="inlineStr">
        <is>
          <t>Alicia Moreno</t>
        </is>
      </c>
      <c r="F75" s="13" t="n">
        <v>46266</v>
      </c>
      <c r="G75" s="13" t="n">
        <v>46295</v>
      </c>
      <c r="H75" s="13" t="n"/>
      <c r="I75" s="11" t="inlineStr">
        <is>
          <t>Requested</t>
        </is>
      </c>
      <c r="J75" s="11" t="inlineStr">
        <is>
          <t>2026-Q3</t>
        </is>
      </c>
      <c r="K75" s="12" t="inlineStr">
        <is>
          <t>GRC-Vault:/WCP-2026/AC/EVID-074_pending</t>
        </is>
      </c>
      <c r="L75" s="11" t="inlineStr">
        <is>
          <t>No</t>
        </is>
      </c>
      <c r="M75" s="11" t="inlineStr">
        <is>
          <t>Lead assessor</t>
        </is>
      </c>
      <c r="N75" s="12" t="inlineStr">
        <is>
          <t>Not yet due</t>
        </is>
      </c>
      <c r="O75" s="11" t="inlineStr">
        <is>
          <t>Operating Effectiveness</t>
        </is>
      </c>
      <c r="P75" s="11" t="inlineStr">
        <is>
          <t>Pending</t>
        </is>
      </c>
      <c r="Q75" s="12" t="inlineStr"/>
      <c r="R75" s="12" t="inlineStr">
        <is>
          <t>Yes: due 2026-09-30</t>
        </is>
      </c>
      <c r="S75" s="11">
        <f>IF(H75="",MAX(0,README!$B$4-G75),MAX(0,H75-G75))</f>
        <v/>
      </c>
      <c r="T75" s="12" t="inlineStr"/>
    </row>
    <row r="76">
      <c r="A76" s="11" t="inlineStr">
        <is>
          <t>EVID-075</t>
        </is>
      </c>
      <c r="B76" s="11" t="inlineStr">
        <is>
          <t>AC-6; AC-6(2); AC-6(5)</t>
        </is>
      </c>
      <c r="C76" s="12" t="inlineStr">
        <is>
          <t>Identity Center assignment export after privilege reduction</t>
        </is>
      </c>
      <c r="D76" s="12" t="inlineStr">
        <is>
          <t>Identity Center assignment export 2026-09-03</t>
        </is>
      </c>
      <c r="E76" s="11" t="inlineStr">
        <is>
          <t>Tomasz Wierzbicki</t>
        </is>
      </c>
      <c r="F76" s="13" t="n">
        <v>46249</v>
      </c>
      <c r="G76" s="13" t="n">
        <v>46270</v>
      </c>
      <c r="H76" s="13" t="n">
        <v>46268</v>
      </c>
      <c r="I76" s="11" t="inlineStr">
        <is>
          <t>Accepted</t>
        </is>
      </c>
      <c r="J76" s="11" t="inlineStr">
        <is>
          <t>As of 2026-09-03</t>
        </is>
      </c>
      <c r="K76" s="12" t="inlineStr">
        <is>
          <t>GRC-Vault:/WCP-2026/AC/EVID-075_idc-assignments-2026-09-03.csv</t>
        </is>
      </c>
      <c r="L76" s="11" t="inlineStr">
        <is>
          <t>No</t>
        </is>
      </c>
      <c r="M76" s="11" t="inlineStr">
        <is>
          <t>Lead assessor</t>
        </is>
      </c>
      <c r="N76" s="12" t="inlineStr">
        <is>
          <t>AdministratorAccess now on jkim-adm, lbaptiste-adm, twierzbicki (daily; pending AR-EX-10) + break-glass</t>
        </is>
      </c>
      <c r="O76" s="11" t="inlineStr">
        <is>
          <t>Implementation</t>
        </is>
      </c>
      <c r="P76" s="11" t="inlineStr">
        <is>
          <t>Sufficient</t>
        </is>
      </c>
      <c r="Q76" s="12" t="inlineStr"/>
      <c r="R76" s="12" t="inlineStr">
        <is>
          <t>No</t>
        </is>
      </c>
      <c r="S76" s="11">
        <f>IF(H76="",MAX(0,README!$B$4-G76),MAX(0,H76-G76))</f>
        <v/>
      </c>
      <c r="T76" s="12" t="inlineStr"/>
    </row>
    <row r="77">
      <c r="A77" s="11" t="inlineStr">
        <is>
          <t>EVID-076</t>
        </is>
      </c>
      <c r="B77" s="11" t="inlineStr">
        <is>
          <t>AC-6(5)</t>
        </is>
      </c>
      <c r="C77" s="12" t="inlineStr">
        <is>
          <t>GitHub org owners after reduction</t>
        </is>
      </c>
      <c r="D77" s="12" t="inlineStr">
        <is>
          <t>GitHub org member export 2026-08-12</t>
        </is>
      </c>
      <c r="E77" s="11" t="inlineStr">
        <is>
          <t>Grace Lindqvist</t>
        </is>
      </c>
      <c r="F77" s="13" t="n">
        <v>46244</v>
      </c>
      <c r="G77" s="13" t="n">
        <v>46248</v>
      </c>
      <c r="H77" s="13" t="n">
        <v>46246</v>
      </c>
      <c r="I77" s="11" t="inlineStr">
        <is>
          <t>Accepted</t>
        </is>
      </c>
      <c r="J77" s="11" t="inlineStr">
        <is>
          <t>As of 2026-08-12</t>
        </is>
      </c>
      <c r="K77" s="12" t="inlineStr">
        <is>
          <t>GRC-Vault:/WCP-2026/AC/EVID-076_github-owners-2026-08-12.csv</t>
        </is>
      </c>
      <c r="L77" s="11" t="inlineStr">
        <is>
          <t>No</t>
        </is>
      </c>
      <c r="M77" s="11" t="inlineStr">
        <is>
          <t>Lead assessor</t>
        </is>
      </c>
      <c r="N77" s="12" t="inlineStr">
        <is>
          <t>3 owners (shaddad, twierzbicki, jkim)</t>
        </is>
      </c>
      <c r="O77" s="11" t="inlineStr">
        <is>
          <t>Implementation</t>
        </is>
      </c>
      <c r="P77" s="11" t="inlineStr">
        <is>
          <t>Sufficient</t>
        </is>
      </c>
      <c r="Q77" s="12" t="inlineStr"/>
      <c r="R77" s="12" t="inlineStr">
        <is>
          <t>No</t>
        </is>
      </c>
      <c r="S77" s="11">
        <f>IF(H77="",MAX(0,README!$B$4-G77),MAX(0,H77-G77))</f>
        <v/>
      </c>
      <c r="T77" s="12" t="inlineStr"/>
    </row>
    <row r="78">
      <c r="A78" s="11" t="inlineStr">
        <is>
          <t>EVID-077</t>
        </is>
      </c>
      <c r="B78" s="11" t="inlineStr">
        <is>
          <t>AC-6(5); AC-6(2)</t>
        </is>
      </c>
      <c r="C78" s="12" t="inlineStr">
        <is>
          <t>Okta administrator role assignment report after change</t>
        </is>
      </c>
      <c r="D78" s="12" t="inlineStr">
        <is>
          <t>Okta admin roles report 2026-07-21</t>
        </is>
      </c>
      <c r="E78" s="11" t="inlineStr">
        <is>
          <t>Nadia Rahman</t>
        </is>
      </c>
      <c r="F78" s="13" t="n">
        <v>46223</v>
      </c>
      <c r="G78" s="13" t="n">
        <v>46227</v>
      </c>
      <c r="H78" s="13" t="n">
        <v>46224</v>
      </c>
      <c r="I78" s="11" t="inlineStr">
        <is>
          <t>Accepted</t>
        </is>
      </c>
      <c r="J78" s="11" t="inlineStr">
        <is>
          <t>As of 2026-07-21</t>
        </is>
      </c>
      <c r="K78" s="12" t="inlineStr">
        <is>
          <t>GRC-Vault:/WCP-2026/AC/EVID-077_okta-admin-roles-2026-07-21.csv</t>
        </is>
      </c>
      <c r="L78" s="11" t="inlineStr">
        <is>
          <t>No</t>
        </is>
      </c>
      <c r="M78" s="11" t="inlineStr">
        <is>
          <t>Lead assessor</t>
        </is>
      </c>
      <c r="N78" s="12" t="inlineStr">
        <is>
          <t>Super Admin: nrahman-adm + break-glass only</t>
        </is>
      </c>
      <c r="O78" s="11" t="inlineStr">
        <is>
          <t>Implementation</t>
        </is>
      </c>
      <c r="P78" s="11" t="inlineStr">
        <is>
          <t>Sufficient</t>
        </is>
      </c>
      <c r="Q78" s="12" t="inlineStr"/>
      <c r="R78" s="12" t="inlineStr">
        <is>
          <t>No</t>
        </is>
      </c>
      <c r="S78" s="11">
        <f>IF(H78="",MAX(0,README!$B$4-G78),MAX(0,H78-G78))</f>
        <v/>
      </c>
      <c r="T78" s="12" t="inlineStr"/>
    </row>
    <row r="79">
      <c r="A79" s="11" t="inlineStr">
        <is>
          <t>EVID-078</t>
        </is>
      </c>
      <c r="B79" s="11" t="inlineStr">
        <is>
          <t>IR-4; AC-2(3)</t>
        </is>
      </c>
      <c r="C79" s="12" t="inlineStr">
        <is>
          <t>Investigation record for INC-2026-0117 (post-termination sign-in)</t>
        </is>
      </c>
      <c r="D79" s="12" t="inlineStr">
        <is>
          <t>Incident record with timeline, log review, and breach risk assessment</t>
        </is>
      </c>
      <c r="E79" s="11" t="inlineStr">
        <is>
          <t>Owen Castillo</t>
        </is>
      </c>
      <c r="F79" s="13" t="n">
        <v>46209</v>
      </c>
      <c r="G79" s="13" t="n">
        <v>46213</v>
      </c>
      <c r="H79" s="13" t="n">
        <v>46212</v>
      </c>
      <c r="I79" s="11" t="inlineStr">
        <is>
          <t>Accepted</t>
        </is>
      </c>
      <c r="J79" s="11" t="inlineStr">
        <is>
          <t>2026-07-06 to 2026-07-09</t>
        </is>
      </c>
      <c r="K79" s="12" t="inlineStr">
        <is>
          <t>evidence/IR/EVID-078_INC-2026-0117-investigation.md</t>
        </is>
      </c>
      <c r="L79" s="11" t="inlineStr">
        <is>
          <t>Yes</t>
        </is>
      </c>
      <c r="M79" s="11" t="inlineStr">
        <is>
          <t>Lead assessor</t>
        </is>
      </c>
      <c r="N79" s="12" t="inlineStr">
        <is>
          <t>Contained same day; 4-factor assessment documented; no evidence of PHI access</t>
        </is>
      </c>
      <c r="O79" s="11" t="inlineStr">
        <is>
          <t>Operating Effectiveness</t>
        </is>
      </c>
      <c r="P79" s="11" t="inlineStr">
        <is>
          <t>Sufficient</t>
        </is>
      </c>
      <c r="Q79" s="12" t="inlineStr"/>
      <c r="R79" s="12" t="inlineStr">
        <is>
          <t>No</t>
        </is>
      </c>
      <c r="S79" s="11">
        <f>IF(H79="",MAX(0,README!$B$4-G79),MAX(0,H79-G79))</f>
        <v/>
      </c>
      <c r="T79" s="12" t="inlineStr"/>
    </row>
  </sheetData>
  <autoFilter ref="A1:T79"/>
  <conditionalFormatting sqref="I2:I279">
    <cfRule type="expression" priority="1" dxfId="4">
      <formula>I2="Satisfied"</formula>
    </cfRule>
    <cfRule type="expression" priority="2" dxfId="5">
      <formula>I2="Other Than Satisfied"</formula>
    </cfRule>
    <cfRule type="expression" priority="3" dxfId="4">
      <formula>I2="Closed"</formula>
    </cfRule>
    <cfRule type="expression" priority="4" dxfId="4">
      <formula>I2="Accepted"</formula>
    </cfRule>
    <cfRule type="expression" priority="5" dxfId="6">
      <formula>I2="Risk Accepted"</formula>
    </cfRule>
    <cfRule type="expression" priority="6" dxfId="5">
      <formula>I2="Overdue"</formula>
    </cfRule>
    <cfRule type="expression" priority="7" dxfId="5">
      <formula>I2="Yes"</formula>
    </cfRule>
    <cfRule type="expression" priority="8" dxfId="5">
      <formula>I2="Insufficient"</formula>
    </cfRule>
    <cfRule type="expression" priority="9" dxfId="7">
      <formula>I2="Rework Required"</formula>
    </cfRule>
    <cfRule type="expression" priority="10" dxfId="7">
      <formula>I2="Delayed"</formula>
    </cfRule>
  </conditionalFormatting>
  <dataValidations count="2">
    <dataValidation sqref="I2:I279" showDropDown="0" showInputMessage="0" showErrorMessage="1" allowBlank="1" errorTitle="Controlled value" error="Choose a value from the list (controlled vocabulary)." type="list">
      <formula1>"Not Requested,Requested,Received,Under Review,Accepted,Insufficient,Rework Required,Closed"</formula1>
    </dataValidation>
    <dataValidation sqref="O2:O279" showDropDown="0" showInputMessage="0" showErrorMessage="1" allowBlank="1" errorTitle="Controlled value" error="Choose a value from the list (controlled vocabulary)." type="list">
      <formula1>"Design,Implementation,Operating Effectiveness"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1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26" customWidth="1" min="5" max="5"/>
    <col width="16" customWidth="1" min="6" max="6"/>
    <col width="16" customWidth="1" min="7" max="7"/>
    <col width="16" customWidth="1" min="8" max="8"/>
    <col width="28" customWidth="1" min="9" max="9"/>
    <col width="16" customWidth="1" min="10" max="10"/>
    <col width="16" customWidth="1" min="11" max="11"/>
    <col width="16" customWidth="1" min="12" max="12"/>
    <col width="16" customWidth="1" min="13" max="13"/>
    <col width="34" customWidth="1" min="14" max="14"/>
    <col width="16" customWidth="1" min="15" max="15"/>
    <col width="16" customWidth="1" min="16" max="16"/>
    <col width="16" customWidth="1" min="17" max="17"/>
    <col width="16" customWidth="1" min="18" max="18"/>
    <col width="16" customWidth="1" min="19" max="19"/>
    <col width="44" customWidth="1" min="20" max="20"/>
    <col width="40" customWidth="1" min="21" max="21"/>
    <col width="16" customWidth="1" min="22" max="22"/>
    <col width="16" customWidth="1" min="23" max="23"/>
    <col width="19" customWidth="1" min="24" max="24"/>
    <col width="16" customWidth="1" min="25" max="25"/>
    <col width="18" customWidth="1" min="26" max="26"/>
    <col width="16" customWidth="1" min="27" max="27"/>
    <col width="18" customWidth="1" min="28" max="28"/>
    <col width="40" customWidth="1" min="29" max="29"/>
  </cols>
  <sheetData>
    <row r="1" ht="32" customHeight="1">
      <c r="A1" s="10" t="inlineStr">
        <is>
          <t>Row ID</t>
        </is>
      </c>
      <c r="B1" s="10" t="inlineStr">
        <is>
          <t>User / Account</t>
        </is>
      </c>
      <c r="C1" s="10" t="inlineStr">
        <is>
          <t>Account Type</t>
        </is>
      </c>
      <c r="D1" s="10" t="inlineStr">
        <is>
          <t>Department</t>
        </is>
      </c>
      <c r="E1" s="10" t="inlineStr">
        <is>
          <t>Role</t>
        </is>
      </c>
      <c r="F1" s="10" t="inlineStr">
        <is>
          <t>Manager</t>
        </is>
      </c>
      <c r="G1" s="10" t="inlineStr">
        <is>
          <t>HR Status</t>
        </is>
      </c>
      <c r="H1" s="10" t="inlineStr">
        <is>
          <t>System</t>
        </is>
      </c>
      <c r="I1" s="10" t="inlineStr">
        <is>
          <t>Access Level</t>
        </is>
      </c>
      <c r="J1" s="10" t="inlineStr">
        <is>
          <t>Privileged?</t>
        </is>
      </c>
      <c r="K1" s="10" t="inlineStr">
        <is>
          <t>PHI Access?</t>
        </is>
      </c>
      <c r="L1" s="10" t="inlineStr">
        <is>
          <t>Date Granted</t>
        </is>
      </c>
      <c r="M1" s="10" t="inlineStr">
        <is>
          <t>Last Login</t>
        </is>
      </c>
      <c r="N1" s="10" t="inlineStr">
        <is>
          <t>Business Justification</t>
        </is>
      </c>
      <c r="O1" s="10" t="inlineStr">
        <is>
          <t>Reviewer</t>
        </is>
      </c>
      <c r="P1" s="10" t="inlineStr">
        <is>
          <t>Review Date</t>
        </is>
      </c>
      <c r="Q1" s="10" t="inlineStr">
        <is>
          <t>Engine Flags</t>
        </is>
      </c>
      <c r="R1" s="10" t="inlineStr">
        <is>
          <t>Review Decision</t>
        </is>
      </c>
      <c r="S1" s="10" t="inlineStr">
        <is>
          <t>Exception ID</t>
        </is>
      </c>
      <c r="T1" s="10" t="inlineStr">
        <is>
          <t>Issue Identified</t>
        </is>
      </c>
      <c r="U1" s="10" t="inlineStr">
        <is>
          <t>Required Action</t>
        </is>
      </c>
      <c r="V1" s="10" t="inlineStr">
        <is>
          <t>Action Owner</t>
        </is>
      </c>
      <c r="W1" s="10" t="inlineStr">
        <is>
          <t>Due Date</t>
        </is>
      </c>
      <c r="X1" s="10" t="inlineStr">
        <is>
          <t>Completion Status</t>
        </is>
      </c>
      <c r="Y1" s="10" t="inlineStr">
        <is>
          <t>Completion Date</t>
        </is>
      </c>
      <c r="Z1" s="10" t="inlineStr">
        <is>
          <t>Closure Evidence</t>
        </is>
      </c>
      <c r="AA1" s="10" t="inlineStr">
        <is>
          <t>Related Finding</t>
        </is>
      </c>
      <c r="AB1" s="10" t="inlineStr">
        <is>
          <t>Affected Control</t>
        </is>
      </c>
      <c r="AC1" s="10" t="inlineStr">
        <is>
          <t>Reviewer Comment</t>
        </is>
      </c>
      <c r="AD1" s="15" t="inlineStr">
        <is>
          <t>First Row of Exception?</t>
        </is>
      </c>
    </row>
    <row r="2">
      <c r="A2" s="11" t="inlineStr">
        <is>
          <t>ENT-001</t>
        </is>
      </c>
      <c r="B2" s="11" t="inlineStr">
        <is>
          <t>amoreno</t>
        </is>
      </c>
      <c r="C2" s="11" t="inlineStr">
        <is>
          <t>Employee</t>
        </is>
      </c>
      <c r="D2" s="11" t="inlineStr">
        <is>
          <t>Security</t>
        </is>
      </c>
      <c r="E2" s="11" t="inlineStr">
        <is>
          <t>Chief Information Security Officer</t>
        </is>
      </c>
      <c r="F2" s="11" t="inlineStr">
        <is>
          <t>Samir Haddad</t>
        </is>
      </c>
      <c r="G2" s="11" t="inlineStr">
        <is>
          <t>Active</t>
        </is>
      </c>
      <c r="H2" s="11" t="inlineStr">
        <is>
          <t>Okta</t>
        </is>
      </c>
      <c r="I2" s="11" t="inlineStr">
        <is>
          <t>SSO account (standard user)</t>
        </is>
      </c>
      <c r="J2" s="11" t="inlineStr">
        <is>
          <t>N</t>
        </is>
      </c>
      <c r="K2" s="11" t="inlineStr">
        <is>
          <t>N</t>
        </is>
      </c>
      <c r="L2" s="13" t="n">
        <v>44256</v>
      </c>
      <c r="M2" s="13" t="n">
        <v>46203</v>
      </c>
      <c r="N2" s="12" t="inlineStr">
        <is>
          <t>Workforce SSO</t>
        </is>
      </c>
      <c r="O2" s="11" t="inlineStr">
        <is>
          <t>Samir Haddad</t>
        </is>
      </c>
      <c r="P2" s="13" t="n">
        <v>46213</v>
      </c>
      <c r="Q2" s="11" t="inlineStr"/>
      <c r="R2" s="11" t="inlineStr">
        <is>
          <t>Retain</t>
        </is>
      </c>
      <c r="S2" s="11" t="inlineStr"/>
      <c r="T2" s="12" t="inlineStr">
        <is>
          <t>None</t>
        </is>
      </c>
      <c r="U2" s="12" t="inlineStr"/>
      <c r="V2" s="11" t="inlineStr"/>
      <c r="W2" s="13" t="n"/>
      <c r="X2" s="11" t="inlineStr">
        <is>
          <t>Completed</t>
        </is>
      </c>
      <c r="Y2" s="13" t="n">
        <v>46213</v>
      </c>
      <c r="Z2" s="11" t="inlineStr"/>
      <c r="AA2" s="11" t="inlineStr"/>
      <c r="AB2" s="11" t="inlineStr"/>
      <c r="AC2" s="12" t="inlineStr"/>
      <c r="AD2">
        <f>IF(S2="",0,IF(COUNTIF(S$2:S2,S2&amp;"")=1,1,0))</f>
        <v/>
      </c>
    </row>
    <row r="3">
      <c r="A3" s="11" t="inlineStr">
        <is>
          <t>ENT-002</t>
        </is>
      </c>
      <c r="B3" s="11" t="inlineStr">
        <is>
          <t>nrahman</t>
        </is>
      </c>
      <c r="C3" s="11" t="inlineStr">
        <is>
          <t>Employee</t>
        </is>
      </c>
      <c r="D3" s="11" t="inlineStr">
        <is>
          <t>Security</t>
        </is>
      </c>
      <c r="E3" s="11" t="inlineStr">
        <is>
          <t>IAM Engineer</t>
        </is>
      </c>
      <c r="F3" s="11" t="inlineStr">
        <is>
          <t>Alicia Moreno</t>
        </is>
      </c>
      <c r="G3" s="11" t="inlineStr">
        <is>
          <t>Active</t>
        </is>
      </c>
      <c r="H3" s="11" t="inlineStr">
        <is>
          <t>Okta</t>
        </is>
      </c>
      <c r="I3" s="11" t="inlineStr">
        <is>
          <t>SSO account (standard user)</t>
        </is>
      </c>
      <c r="J3" s="11" t="inlineStr">
        <is>
          <t>N</t>
        </is>
      </c>
      <c r="K3" s="11" t="inlineStr">
        <is>
          <t>N</t>
        </is>
      </c>
      <c r="L3" s="13" t="n">
        <v>44697</v>
      </c>
      <c r="M3" s="13" t="n">
        <v>46203</v>
      </c>
      <c r="N3" s="12" t="inlineStr">
        <is>
          <t>Workforce SSO</t>
        </is>
      </c>
      <c r="O3" s="11" t="inlineStr">
        <is>
          <t>Alicia Moreno</t>
        </is>
      </c>
      <c r="P3" s="13" t="n">
        <v>46213</v>
      </c>
      <c r="Q3" s="11" t="inlineStr"/>
      <c r="R3" s="11" t="inlineStr">
        <is>
          <t>Retain</t>
        </is>
      </c>
      <c r="S3" s="11" t="inlineStr"/>
      <c r="T3" s="12" t="inlineStr">
        <is>
          <t>None</t>
        </is>
      </c>
      <c r="U3" s="12" t="inlineStr"/>
      <c r="V3" s="11" t="inlineStr"/>
      <c r="W3" s="13" t="n"/>
      <c r="X3" s="11" t="inlineStr">
        <is>
          <t>Completed</t>
        </is>
      </c>
      <c r="Y3" s="13" t="n">
        <v>46213</v>
      </c>
      <c r="Z3" s="11" t="inlineStr"/>
      <c r="AA3" s="11" t="inlineStr"/>
      <c r="AB3" s="11" t="inlineStr"/>
      <c r="AC3" s="12" t="inlineStr"/>
      <c r="AD3">
        <f>IF(S3="",0,IF(COUNTIF(S$2:S3,S3&amp;"")=1,1,0))</f>
        <v/>
      </c>
    </row>
    <row r="4">
      <c r="A4" s="11" t="inlineStr">
        <is>
          <t>ENT-003</t>
        </is>
      </c>
      <c r="B4" s="11" t="inlineStr">
        <is>
          <t>ocastillo</t>
        </is>
      </c>
      <c r="C4" s="11" t="inlineStr">
        <is>
          <t>Employee</t>
        </is>
      </c>
      <c r="D4" s="11" t="inlineStr">
        <is>
          <t>Security</t>
        </is>
      </c>
      <c r="E4" s="11" t="inlineStr">
        <is>
          <t>Security Engineer</t>
        </is>
      </c>
      <c r="F4" s="11" t="inlineStr">
        <is>
          <t>Alicia Moreno</t>
        </is>
      </c>
      <c r="G4" s="11" t="inlineStr">
        <is>
          <t>Active</t>
        </is>
      </c>
      <c r="H4" s="11" t="inlineStr">
        <is>
          <t>Okta</t>
        </is>
      </c>
      <c r="I4" s="11" t="inlineStr">
        <is>
          <t>SSO account (standard user)</t>
        </is>
      </c>
      <c r="J4" s="11" t="inlineStr">
        <is>
          <t>N</t>
        </is>
      </c>
      <c r="K4" s="11" t="inlineStr">
        <is>
          <t>N</t>
        </is>
      </c>
      <c r="L4" s="13" t="n">
        <v>44810</v>
      </c>
      <c r="M4" s="13" t="n">
        <v>46203</v>
      </c>
      <c r="N4" s="12" t="inlineStr">
        <is>
          <t>Workforce SSO</t>
        </is>
      </c>
      <c r="O4" s="11" t="inlineStr">
        <is>
          <t>Alicia Moreno</t>
        </is>
      </c>
      <c r="P4" s="13" t="n">
        <v>46213</v>
      </c>
      <c r="Q4" s="11" t="inlineStr"/>
      <c r="R4" s="11" t="inlineStr">
        <is>
          <t>Retain</t>
        </is>
      </c>
      <c r="S4" s="11" t="inlineStr"/>
      <c r="T4" s="12" t="inlineStr">
        <is>
          <t>None</t>
        </is>
      </c>
      <c r="U4" s="12" t="inlineStr"/>
      <c r="V4" s="11" t="inlineStr"/>
      <c r="W4" s="13" t="n"/>
      <c r="X4" s="11" t="inlineStr">
        <is>
          <t>Completed</t>
        </is>
      </c>
      <c r="Y4" s="13" t="n">
        <v>46213</v>
      </c>
      <c r="Z4" s="11" t="inlineStr"/>
      <c r="AA4" s="11" t="inlineStr"/>
      <c r="AB4" s="11" t="inlineStr"/>
      <c r="AC4" s="12" t="inlineStr"/>
      <c r="AD4">
        <f>IF(S4="",0,IF(COUNTIF(S$2:S4,S4&amp;"")=1,1,0))</f>
        <v/>
      </c>
    </row>
    <row r="5">
      <c r="A5" s="11" t="inlineStr">
        <is>
          <t>ENT-004</t>
        </is>
      </c>
      <c r="B5" s="11" t="inlineStr">
        <is>
          <t>praman</t>
        </is>
      </c>
      <c r="C5" s="11" t="inlineStr">
        <is>
          <t>Employee</t>
        </is>
      </c>
      <c r="D5" s="11" t="inlineStr">
        <is>
          <t>Security</t>
        </is>
      </c>
      <c r="E5" s="11" t="inlineStr">
        <is>
          <t>Security Compliance Manager</t>
        </is>
      </c>
      <c r="F5" s="11" t="inlineStr">
        <is>
          <t>Alicia Moreno</t>
        </is>
      </c>
      <c r="G5" s="11" t="inlineStr">
        <is>
          <t>Active</t>
        </is>
      </c>
      <c r="H5" s="11" t="inlineStr">
        <is>
          <t>Okta</t>
        </is>
      </c>
      <c r="I5" s="11" t="inlineStr">
        <is>
          <t>SSO account (standard user)</t>
        </is>
      </c>
      <c r="J5" s="11" t="inlineStr">
        <is>
          <t>N</t>
        </is>
      </c>
      <c r="K5" s="11" t="inlineStr">
        <is>
          <t>N</t>
        </is>
      </c>
      <c r="L5" s="13" t="n">
        <v>44935</v>
      </c>
      <c r="M5" s="13" t="n">
        <v>46202</v>
      </c>
      <c r="N5" s="12" t="inlineStr">
        <is>
          <t>Workforce SSO</t>
        </is>
      </c>
      <c r="O5" s="11" t="inlineStr">
        <is>
          <t>Alicia Moreno</t>
        </is>
      </c>
      <c r="P5" s="13" t="n">
        <v>46213</v>
      </c>
      <c r="Q5" s="11" t="inlineStr"/>
      <c r="R5" s="11" t="inlineStr">
        <is>
          <t>Retain</t>
        </is>
      </c>
      <c r="S5" s="11" t="inlineStr"/>
      <c r="T5" s="12" t="inlineStr">
        <is>
          <t>None</t>
        </is>
      </c>
      <c r="U5" s="12" t="inlineStr"/>
      <c r="V5" s="11" t="inlineStr"/>
      <c r="W5" s="13" t="n"/>
      <c r="X5" s="11" t="inlineStr">
        <is>
          <t>Completed</t>
        </is>
      </c>
      <c r="Y5" s="13" t="n">
        <v>46213</v>
      </c>
      <c r="Z5" s="11" t="inlineStr"/>
      <c r="AA5" s="11" t="inlineStr"/>
      <c r="AB5" s="11" t="inlineStr"/>
      <c r="AC5" s="12" t="inlineStr"/>
      <c r="AD5">
        <f>IF(S5="",0,IF(COUNTIF(S$2:S5,S5&amp;"")=1,1,0))</f>
        <v/>
      </c>
    </row>
    <row r="6">
      <c r="A6" s="11" t="inlineStr">
        <is>
          <t>ENT-005</t>
        </is>
      </c>
      <c r="B6" s="11" t="inlineStr">
        <is>
          <t>shaddad</t>
        </is>
      </c>
      <c r="C6" s="11" t="inlineStr">
        <is>
          <t>Employee</t>
        </is>
      </c>
      <c r="D6" s="11" t="inlineStr">
        <is>
          <t>Executive</t>
        </is>
      </c>
      <c r="E6" s="11" t="inlineStr">
        <is>
          <t>Chief Technology Officer</t>
        </is>
      </c>
      <c r="F6" s="11" t="inlineStr">
        <is>
          <t>Elena Marsh</t>
        </is>
      </c>
      <c r="G6" s="11" t="inlineStr">
        <is>
          <t>Active</t>
        </is>
      </c>
      <c r="H6" s="11" t="inlineStr">
        <is>
          <t>Okta</t>
        </is>
      </c>
      <c r="I6" s="11" t="inlineStr">
        <is>
          <t>SSO account (standard user)</t>
        </is>
      </c>
      <c r="J6" s="11" t="inlineStr">
        <is>
          <t>N</t>
        </is>
      </c>
      <c r="K6" s="11" t="inlineStr">
        <is>
          <t>N</t>
        </is>
      </c>
      <c r="L6" s="13" t="n">
        <v>42767</v>
      </c>
      <c r="M6" s="13" t="n">
        <v>46202</v>
      </c>
      <c r="N6" s="12" t="inlineStr">
        <is>
          <t>Workforce SSO</t>
        </is>
      </c>
      <c r="O6" s="11" t="inlineStr">
        <is>
          <t>Elena Marsh</t>
        </is>
      </c>
      <c r="P6" s="13" t="n">
        <v>46213</v>
      </c>
      <c r="Q6" s="11" t="inlineStr"/>
      <c r="R6" s="11" t="inlineStr">
        <is>
          <t>Retain</t>
        </is>
      </c>
      <c r="S6" s="11" t="inlineStr"/>
      <c r="T6" s="12" t="inlineStr">
        <is>
          <t>None</t>
        </is>
      </c>
      <c r="U6" s="12" t="inlineStr"/>
      <c r="V6" s="11" t="inlineStr"/>
      <c r="W6" s="13" t="n"/>
      <c r="X6" s="11" t="inlineStr">
        <is>
          <t>Completed</t>
        </is>
      </c>
      <c r="Y6" s="13" t="n">
        <v>46213</v>
      </c>
      <c r="Z6" s="11" t="inlineStr"/>
      <c r="AA6" s="11" t="inlineStr"/>
      <c r="AB6" s="11" t="inlineStr"/>
      <c r="AC6" s="12" t="inlineStr"/>
      <c r="AD6">
        <f>IF(S6="",0,IF(COUNTIF(S$2:S6,S6&amp;"")=1,1,0))</f>
        <v/>
      </c>
    </row>
    <row r="7">
      <c r="A7" s="11" t="inlineStr">
        <is>
          <t>ENT-006</t>
        </is>
      </c>
      <c r="B7" s="11" t="inlineStr">
        <is>
          <t>glindqvist</t>
        </is>
      </c>
      <c r="C7" s="11" t="inlineStr">
        <is>
          <t>Employee</t>
        </is>
      </c>
      <c r="D7" s="11" t="inlineStr">
        <is>
          <t>Engineering</t>
        </is>
      </c>
      <c r="E7" s="11" t="inlineStr">
        <is>
          <t>VP Engineering</t>
        </is>
      </c>
      <c r="F7" s="11" t="inlineStr">
        <is>
          <t>Samir Haddad</t>
        </is>
      </c>
      <c r="G7" s="11" t="inlineStr">
        <is>
          <t>Active</t>
        </is>
      </c>
      <c r="H7" s="11" t="inlineStr">
        <is>
          <t>Okta</t>
        </is>
      </c>
      <c r="I7" s="11" t="inlineStr">
        <is>
          <t>SSO account (standard user)</t>
        </is>
      </c>
      <c r="J7" s="11" t="inlineStr">
        <is>
          <t>N</t>
        </is>
      </c>
      <c r="K7" s="11" t="inlineStr">
        <is>
          <t>N</t>
        </is>
      </c>
      <c r="L7" s="13" t="n">
        <v>43997</v>
      </c>
      <c r="M7" s="13" t="n">
        <v>46203</v>
      </c>
      <c r="N7" s="12" t="inlineStr">
        <is>
          <t>Workforce SSO</t>
        </is>
      </c>
      <c r="O7" s="11" t="inlineStr">
        <is>
          <t>Samir Haddad</t>
        </is>
      </c>
      <c r="P7" s="13" t="n">
        <v>46213</v>
      </c>
      <c r="Q7" s="11" t="inlineStr"/>
      <c r="R7" s="11" t="inlineStr">
        <is>
          <t>Retain</t>
        </is>
      </c>
      <c r="S7" s="11" t="inlineStr"/>
      <c r="T7" s="12" t="inlineStr">
        <is>
          <t>None</t>
        </is>
      </c>
      <c r="U7" s="12" t="inlineStr"/>
      <c r="V7" s="11" t="inlineStr"/>
      <c r="W7" s="13" t="n"/>
      <c r="X7" s="11" t="inlineStr">
        <is>
          <t>Completed</t>
        </is>
      </c>
      <c r="Y7" s="13" t="n">
        <v>46213</v>
      </c>
      <c r="Z7" s="11" t="inlineStr"/>
      <c r="AA7" s="11" t="inlineStr"/>
      <c r="AB7" s="11" t="inlineStr"/>
      <c r="AC7" s="12" t="inlineStr"/>
      <c r="AD7">
        <f>IF(S7="",0,IF(COUNTIF(S$2:S7,S7&amp;"")=1,1,0))</f>
        <v/>
      </c>
    </row>
    <row r="8">
      <c r="A8" s="11" t="inlineStr">
        <is>
          <t>ENT-007</t>
        </is>
      </c>
      <c r="B8" s="11" t="inlineStr">
        <is>
          <t>twierzbicki</t>
        </is>
      </c>
      <c r="C8" s="11" t="inlineStr">
        <is>
          <t>Employee</t>
        </is>
      </c>
      <c r="D8" s="11" t="inlineStr">
        <is>
          <t>Platform Engineering</t>
        </is>
      </c>
      <c r="E8" s="11" t="inlineStr">
        <is>
          <t>Director Platform Engineering</t>
        </is>
      </c>
      <c r="F8" s="11" t="inlineStr">
        <is>
          <t>Samir Haddad</t>
        </is>
      </c>
      <c r="G8" s="11" t="inlineStr">
        <is>
          <t>Active</t>
        </is>
      </c>
      <c r="H8" s="11" t="inlineStr">
        <is>
          <t>Okta</t>
        </is>
      </c>
      <c r="I8" s="11" t="inlineStr">
        <is>
          <t>SSO account (standard user)</t>
        </is>
      </c>
      <c r="J8" s="11" t="inlineStr">
        <is>
          <t>N</t>
        </is>
      </c>
      <c r="K8" s="11" t="inlineStr">
        <is>
          <t>N</t>
        </is>
      </c>
      <c r="L8" s="13" t="n">
        <v>43556</v>
      </c>
      <c r="M8" s="13" t="n">
        <v>46203</v>
      </c>
      <c r="N8" s="12" t="inlineStr">
        <is>
          <t>Workforce SSO</t>
        </is>
      </c>
      <c r="O8" s="11" t="inlineStr">
        <is>
          <t>Samir Haddad</t>
        </is>
      </c>
      <c r="P8" s="13" t="n">
        <v>46213</v>
      </c>
      <c r="Q8" s="11" t="inlineStr"/>
      <c r="R8" s="11" t="inlineStr">
        <is>
          <t>Retain</t>
        </is>
      </c>
      <c r="S8" s="11" t="inlineStr"/>
      <c r="T8" s="12" t="inlineStr">
        <is>
          <t>None</t>
        </is>
      </c>
      <c r="U8" s="12" t="inlineStr"/>
      <c r="V8" s="11" t="inlineStr"/>
      <c r="W8" s="13" t="n"/>
      <c r="X8" s="11" t="inlineStr">
        <is>
          <t>Completed</t>
        </is>
      </c>
      <c r="Y8" s="13" t="n">
        <v>46213</v>
      </c>
      <c r="Z8" s="11" t="inlineStr"/>
      <c r="AA8" s="11" t="inlineStr"/>
      <c r="AB8" s="11" t="inlineStr"/>
      <c r="AC8" s="12" t="inlineStr"/>
      <c r="AD8">
        <f>IF(S8="",0,IF(COUNTIF(S$2:S8,S8&amp;"")=1,1,0))</f>
        <v/>
      </c>
    </row>
    <row r="9">
      <c r="A9" s="11" t="inlineStr">
        <is>
          <t>ENT-008</t>
        </is>
      </c>
      <c r="B9" s="11" t="inlineStr">
        <is>
          <t>jkim</t>
        </is>
      </c>
      <c r="C9" s="11" t="inlineStr">
        <is>
          <t>Employee</t>
        </is>
      </c>
      <c r="D9" s="11" t="inlineStr">
        <is>
          <t>Platform Engineering</t>
        </is>
      </c>
      <c r="E9" s="11" t="inlineStr">
        <is>
          <t>Senior SRE</t>
        </is>
      </c>
      <c r="F9" s="11" t="inlineStr">
        <is>
          <t>Tomasz Wierzbicki</t>
        </is>
      </c>
      <c r="G9" s="11" t="inlineStr">
        <is>
          <t>Active</t>
        </is>
      </c>
      <c r="H9" s="11" t="inlineStr">
        <is>
          <t>Okta</t>
        </is>
      </c>
      <c r="I9" s="11" t="inlineStr">
        <is>
          <t>SSO account (standard user)</t>
        </is>
      </c>
      <c r="J9" s="11" t="inlineStr">
        <is>
          <t>N</t>
        </is>
      </c>
      <c r="K9" s="11" t="inlineStr">
        <is>
          <t>N</t>
        </is>
      </c>
      <c r="L9" s="13" t="n">
        <v>44109</v>
      </c>
      <c r="M9" s="13" t="n">
        <v>46203</v>
      </c>
      <c r="N9" s="12" t="inlineStr">
        <is>
          <t>Workforce SSO</t>
        </is>
      </c>
      <c r="O9" s="11" t="inlineStr">
        <is>
          <t>Tomasz Wierzbicki</t>
        </is>
      </c>
      <c r="P9" s="13" t="n">
        <v>46213</v>
      </c>
      <c r="Q9" s="11" t="inlineStr"/>
      <c r="R9" s="11" t="inlineStr">
        <is>
          <t>Retain</t>
        </is>
      </c>
      <c r="S9" s="11" t="inlineStr"/>
      <c r="T9" s="12" t="inlineStr">
        <is>
          <t>None</t>
        </is>
      </c>
      <c r="U9" s="12" t="inlineStr"/>
      <c r="V9" s="11" t="inlineStr"/>
      <c r="W9" s="13" t="n"/>
      <c r="X9" s="11" t="inlineStr">
        <is>
          <t>Completed</t>
        </is>
      </c>
      <c r="Y9" s="13" t="n">
        <v>46213</v>
      </c>
      <c r="Z9" s="11" t="inlineStr"/>
      <c r="AA9" s="11" t="inlineStr"/>
      <c r="AB9" s="11" t="inlineStr"/>
      <c r="AC9" s="12" t="inlineStr"/>
      <c r="AD9">
        <f>IF(S9="",0,IF(COUNTIF(S$2:S9,S9&amp;"")=1,1,0))</f>
        <v/>
      </c>
    </row>
    <row r="10">
      <c r="A10" s="11" t="inlineStr">
        <is>
          <t>ENT-009</t>
        </is>
      </c>
      <c r="B10" s="11" t="inlineStr">
        <is>
          <t>lbaptiste</t>
        </is>
      </c>
      <c r="C10" s="11" t="inlineStr">
        <is>
          <t>Employee</t>
        </is>
      </c>
      <c r="D10" s="11" t="inlineStr">
        <is>
          <t>Platform Engineering</t>
        </is>
      </c>
      <c r="E10" s="11" t="inlineStr">
        <is>
          <t>SRE</t>
        </is>
      </c>
      <c r="F10" s="11" t="inlineStr">
        <is>
          <t>Tomasz Wierzbicki</t>
        </is>
      </c>
      <c r="G10" s="11" t="inlineStr">
        <is>
          <t>Active</t>
        </is>
      </c>
      <c r="H10" s="11" t="inlineStr">
        <is>
          <t>Okta</t>
        </is>
      </c>
      <c r="I10" s="11" t="inlineStr">
        <is>
          <t>SSO account (standard user)</t>
        </is>
      </c>
      <c r="J10" s="11" t="inlineStr">
        <is>
          <t>N</t>
        </is>
      </c>
      <c r="K10" s="11" t="inlineStr">
        <is>
          <t>N</t>
        </is>
      </c>
      <c r="L10" s="13" t="n">
        <v>44998</v>
      </c>
      <c r="M10" s="13" t="n">
        <v>46203</v>
      </c>
      <c r="N10" s="12" t="inlineStr">
        <is>
          <t>Workforce SSO</t>
        </is>
      </c>
      <c r="O10" s="11" t="inlineStr">
        <is>
          <t>Tomasz Wierzbicki</t>
        </is>
      </c>
      <c r="P10" s="13" t="n">
        <v>46213</v>
      </c>
      <c r="Q10" s="11" t="inlineStr"/>
      <c r="R10" s="11" t="inlineStr">
        <is>
          <t>Retain</t>
        </is>
      </c>
      <c r="S10" s="11" t="inlineStr"/>
      <c r="T10" s="12" t="inlineStr">
        <is>
          <t>None</t>
        </is>
      </c>
      <c r="U10" s="12" t="inlineStr"/>
      <c r="V10" s="11" t="inlineStr"/>
      <c r="W10" s="13" t="n"/>
      <c r="X10" s="11" t="inlineStr">
        <is>
          <t>Completed</t>
        </is>
      </c>
      <c r="Y10" s="13" t="n">
        <v>46213</v>
      </c>
      <c r="Z10" s="11" t="inlineStr"/>
      <c r="AA10" s="11" t="inlineStr"/>
      <c r="AB10" s="11" t="inlineStr"/>
      <c r="AC10" s="12" t="inlineStr"/>
      <c r="AD10">
        <f>IF(S10="",0,IF(COUNTIF(S$2:S10,S10&amp;"")=1,1,0))</f>
        <v/>
      </c>
    </row>
    <row r="11">
      <c r="A11" s="11" t="inlineStr">
        <is>
          <t>ENT-010</t>
        </is>
      </c>
      <c r="B11" s="11" t="inlineStr">
        <is>
          <t>sricci</t>
        </is>
      </c>
      <c r="C11" s="11" t="inlineStr">
        <is>
          <t>Employee</t>
        </is>
      </c>
      <c r="D11" s="11" t="inlineStr">
        <is>
          <t>Engineering</t>
        </is>
      </c>
      <c r="E11" s="11" t="inlineStr">
        <is>
          <t>Engineering Manager</t>
        </is>
      </c>
      <c r="F11" s="11" t="inlineStr">
        <is>
          <t>Grace Lindqvist</t>
        </is>
      </c>
      <c r="G11" s="11" t="inlineStr">
        <is>
          <t>Active</t>
        </is>
      </c>
      <c r="H11" s="11" t="inlineStr">
        <is>
          <t>Okta</t>
        </is>
      </c>
      <c r="I11" s="11" t="inlineStr">
        <is>
          <t>SSO account (standard user)</t>
        </is>
      </c>
      <c r="J11" s="11" t="inlineStr">
        <is>
          <t>N</t>
        </is>
      </c>
      <c r="K11" s="11" t="inlineStr">
        <is>
          <t>N</t>
        </is>
      </c>
      <c r="L11" s="13" t="n">
        <v>44207</v>
      </c>
      <c r="M11" s="13" t="n">
        <v>46203</v>
      </c>
      <c r="N11" s="12" t="inlineStr">
        <is>
          <t>Workforce SSO</t>
        </is>
      </c>
      <c r="O11" s="11" t="inlineStr">
        <is>
          <t>Grace Lindqvist</t>
        </is>
      </c>
      <c r="P11" s="13" t="n">
        <v>46213</v>
      </c>
      <c r="Q11" s="11" t="inlineStr"/>
      <c r="R11" s="11" t="inlineStr">
        <is>
          <t>Retain</t>
        </is>
      </c>
      <c r="S11" s="11" t="inlineStr"/>
      <c r="T11" s="12" t="inlineStr">
        <is>
          <t>None</t>
        </is>
      </c>
      <c r="U11" s="12" t="inlineStr"/>
      <c r="V11" s="11" t="inlineStr"/>
      <c r="W11" s="13" t="n"/>
      <c r="X11" s="11" t="inlineStr">
        <is>
          <t>Completed</t>
        </is>
      </c>
      <c r="Y11" s="13" t="n">
        <v>46213</v>
      </c>
      <c r="Z11" s="11" t="inlineStr"/>
      <c r="AA11" s="11" t="inlineStr"/>
      <c r="AB11" s="11" t="inlineStr"/>
      <c r="AC11" s="12" t="inlineStr"/>
      <c r="AD11">
        <f>IF(S11="",0,IF(COUNTIF(S$2:S11,S11&amp;"")=1,1,0))</f>
        <v/>
      </c>
    </row>
    <row r="12">
      <c r="A12" s="11" t="inlineStr">
        <is>
          <t>ENT-011</t>
        </is>
      </c>
      <c r="B12" s="11" t="inlineStr">
        <is>
          <t>dokonkwo</t>
        </is>
      </c>
      <c r="C12" s="11" t="inlineStr">
        <is>
          <t>Employee</t>
        </is>
      </c>
      <c r="D12" s="11" t="inlineStr">
        <is>
          <t>Engineering</t>
        </is>
      </c>
      <c r="E12" s="11" t="inlineStr">
        <is>
          <t>Senior Software Engineer</t>
        </is>
      </c>
      <c r="F12" s="11" t="inlineStr">
        <is>
          <t>Sofia Ricci</t>
        </is>
      </c>
      <c r="G12" s="11" t="inlineStr">
        <is>
          <t>Active</t>
        </is>
      </c>
      <c r="H12" s="11" t="inlineStr">
        <is>
          <t>Okta</t>
        </is>
      </c>
      <c r="I12" s="11" t="inlineStr">
        <is>
          <t>SSO account (standard user)</t>
        </is>
      </c>
      <c r="J12" s="11" t="inlineStr">
        <is>
          <t>N</t>
        </is>
      </c>
      <c r="K12" s="11" t="inlineStr">
        <is>
          <t>N</t>
        </is>
      </c>
      <c r="L12" s="13" t="n">
        <v>44396</v>
      </c>
      <c r="M12" s="13" t="n">
        <v>46203</v>
      </c>
      <c r="N12" s="12" t="inlineStr">
        <is>
          <t>Workforce SSO</t>
        </is>
      </c>
      <c r="O12" s="11" t="inlineStr">
        <is>
          <t>Sofia Ricci</t>
        </is>
      </c>
      <c r="P12" s="13" t="n">
        <v>46213</v>
      </c>
      <c r="Q12" s="11" t="inlineStr"/>
      <c r="R12" s="11" t="inlineStr">
        <is>
          <t>Retain</t>
        </is>
      </c>
      <c r="S12" s="11" t="inlineStr"/>
      <c r="T12" s="12" t="inlineStr">
        <is>
          <t>None</t>
        </is>
      </c>
      <c r="U12" s="12" t="inlineStr"/>
      <c r="V12" s="11" t="inlineStr"/>
      <c r="W12" s="13" t="n"/>
      <c r="X12" s="11" t="inlineStr">
        <is>
          <t>Completed</t>
        </is>
      </c>
      <c r="Y12" s="13" t="n">
        <v>46213</v>
      </c>
      <c r="Z12" s="11" t="inlineStr"/>
      <c r="AA12" s="11" t="inlineStr"/>
      <c r="AB12" s="11" t="inlineStr"/>
      <c r="AC12" s="12" t="inlineStr"/>
      <c r="AD12">
        <f>IF(S12="",0,IF(COUNTIF(S$2:S12,S12&amp;"")=1,1,0))</f>
        <v/>
      </c>
    </row>
    <row r="13">
      <c r="A13" s="11" t="inlineStr">
        <is>
          <t>ENT-012</t>
        </is>
      </c>
      <c r="B13" s="11" t="inlineStr">
        <is>
          <t>hlarsen</t>
        </is>
      </c>
      <c r="C13" s="11" t="inlineStr">
        <is>
          <t>Employee</t>
        </is>
      </c>
      <c r="D13" s="11" t="inlineStr">
        <is>
          <t>Engineering</t>
        </is>
      </c>
      <c r="E13" s="11" t="inlineStr">
        <is>
          <t>Software Engineer</t>
        </is>
      </c>
      <c r="F13" s="11" t="inlineStr">
        <is>
          <t>Sofia Ricci</t>
        </is>
      </c>
      <c r="G13" s="11" t="inlineStr">
        <is>
          <t>Active</t>
        </is>
      </c>
      <c r="H13" s="11" t="inlineStr">
        <is>
          <t>Okta</t>
        </is>
      </c>
      <c r="I13" s="11" t="inlineStr">
        <is>
          <t>SSO account (standard user)</t>
        </is>
      </c>
      <c r="J13" s="11" t="inlineStr">
        <is>
          <t>N</t>
        </is>
      </c>
      <c r="K13" s="11" t="inlineStr">
        <is>
          <t>N</t>
        </is>
      </c>
      <c r="L13" s="13" t="n">
        <v>44872</v>
      </c>
      <c r="M13" s="13" t="n">
        <v>46202</v>
      </c>
      <c r="N13" s="12" t="inlineStr">
        <is>
          <t>Workforce SSO</t>
        </is>
      </c>
      <c r="O13" s="11" t="inlineStr">
        <is>
          <t>Sofia Ricci</t>
        </is>
      </c>
      <c r="P13" s="13" t="n">
        <v>46213</v>
      </c>
      <c r="Q13" s="11" t="inlineStr"/>
      <c r="R13" s="11" t="inlineStr">
        <is>
          <t>Retain</t>
        </is>
      </c>
      <c r="S13" s="11" t="inlineStr"/>
      <c r="T13" s="12" t="inlineStr">
        <is>
          <t>None</t>
        </is>
      </c>
      <c r="U13" s="12" t="inlineStr"/>
      <c r="V13" s="11" t="inlineStr"/>
      <c r="W13" s="13" t="n"/>
      <c r="X13" s="11" t="inlineStr">
        <is>
          <t>Completed</t>
        </is>
      </c>
      <c r="Y13" s="13" t="n">
        <v>46213</v>
      </c>
      <c r="Z13" s="11" t="inlineStr"/>
      <c r="AA13" s="11" t="inlineStr"/>
      <c r="AB13" s="11" t="inlineStr"/>
      <c r="AC13" s="12" t="inlineStr"/>
      <c r="AD13">
        <f>IF(S13="",0,IF(COUNTIF(S$2:S13,S13&amp;"")=1,1,0))</f>
        <v/>
      </c>
    </row>
    <row r="14">
      <c r="A14" s="11" t="inlineStr">
        <is>
          <t>ENT-013</t>
        </is>
      </c>
      <c r="B14" s="11" t="inlineStr">
        <is>
          <t>rgupta</t>
        </is>
      </c>
      <c r="C14" s="11" t="inlineStr">
        <is>
          <t>Employee</t>
        </is>
      </c>
      <c r="D14" s="11" t="inlineStr">
        <is>
          <t>Engineering</t>
        </is>
      </c>
      <c r="E14" s="11" t="inlineStr">
        <is>
          <t>Software Engineer</t>
        </is>
      </c>
      <c r="F14" s="11" t="inlineStr">
        <is>
          <t>Sofia Ricci</t>
        </is>
      </c>
      <c r="G14" s="11" t="inlineStr">
        <is>
          <t>Active</t>
        </is>
      </c>
      <c r="H14" s="11" t="inlineStr">
        <is>
          <t>Okta</t>
        </is>
      </c>
      <c r="I14" s="11" t="inlineStr">
        <is>
          <t>SSO account (standard user)</t>
        </is>
      </c>
      <c r="J14" s="11" t="inlineStr">
        <is>
          <t>N</t>
        </is>
      </c>
      <c r="K14" s="11" t="inlineStr">
        <is>
          <t>N</t>
        </is>
      </c>
      <c r="L14" s="13" t="n">
        <v>45748</v>
      </c>
      <c r="M14" s="13" t="n">
        <v>46203</v>
      </c>
      <c r="N14" s="12" t="inlineStr">
        <is>
          <t>Workforce SSO</t>
        </is>
      </c>
      <c r="O14" s="11" t="inlineStr">
        <is>
          <t>Sofia Ricci</t>
        </is>
      </c>
      <c r="P14" s="13" t="n">
        <v>46213</v>
      </c>
      <c r="Q14" s="11" t="inlineStr"/>
      <c r="R14" s="11" t="inlineStr">
        <is>
          <t>Retain</t>
        </is>
      </c>
      <c r="S14" s="11" t="inlineStr"/>
      <c r="T14" s="12" t="inlineStr">
        <is>
          <t>None</t>
        </is>
      </c>
      <c r="U14" s="12" t="inlineStr"/>
      <c r="V14" s="11" t="inlineStr"/>
      <c r="W14" s="13" t="n"/>
      <c r="X14" s="11" t="inlineStr">
        <is>
          <t>Completed</t>
        </is>
      </c>
      <c r="Y14" s="13" t="n">
        <v>46213</v>
      </c>
      <c r="Z14" s="11" t="inlineStr"/>
      <c r="AA14" s="11" t="inlineStr"/>
      <c r="AB14" s="11" t="inlineStr"/>
      <c r="AC14" s="12" t="inlineStr"/>
      <c r="AD14">
        <f>IF(S14="",0,IF(COUNTIF(S$2:S14,S14&amp;"")=1,1,0))</f>
        <v/>
      </c>
    </row>
    <row r="15">
      <c r="A15" s="11" t="inlineStr">
        <is>
          <t>ENT-014</t>
        </is>
      </c>
      <c r="B15" s="11" t="inlineStr">
        <is>
          <t>rgupta2</t>
        </is>
      </c>
      <c r="C15" s="11" t="inlineStr">
        <is>
          <t>Contractor</t>
        </is>
      </c>
      <c r="D15" s="11" t="inlineStr">
        <is>
          <t>Engineering</t>
        </is>
      </c>
      <c r="E15" s="11" t="inlineStr">
        <is>
          <t>Contract Software Engineer</t>
        </is>
      </c>
      <c r="F15" s="11" t="inlineStr">
        <is>
          <t>Sofia Ricci</t>
        </is>
      </c>
      <c r="G15" s="11" t="inlineStr">
        <is>
          <t>Terminated</t>
        </is>
      </c>
      <c r="H15" s="11" t="inlineStr">
        <is>
          <t>Okta</t>
        </is>
      </c>
      <c r="I15" s="11" t="inlineStr">
        <is>
          <t>SSO account (standard user)</t>
        </is>
      </c>
      <c r="J15" s="11" t="inlineStr">
        <is>
          <t>N</t>
        </is>
      </c>
      <c r="K15" s="11" t="inlineStr">
        <is>
          <t>N</t>
        </is>
      </c>
      <c r="L15" s="13" t="n">
        <v>45446</v>
      </c>
      <c r="M15" s="13" t="n">
        <v>45744</v>
      </c>
      <c r="N15" s="12" t="inlineStr">
        <is>
          <t>Contractor SSO (Northgate SOW 2024-117)</t>
        </is>
      </c>
      <c r="O15" s="11" t="inlineStr">
        <is>
          <t>Sofia Ricci</t>
        </is>
      </c>
      <c r="P15" s="13" t="n">
        <v>46211</v>
      </c>
      <c r="Q15" s="11" t="inlineStr">
        <is>
          <t>F-DUP; F-INACTIVE; F-TERM</t>
        </is>
      </c>
      <c r="R15" s="11" t="inlineStr">
        <is>
          <t>Revoke</t>
        </is>
      </c>
      <c r="S15" s="11" t="inlineStr">
        <is>
          <t>AR-EX-12</t>
        </is>
      </c>
      <c r="T15" s="12" t="inlineStr">
        <is>
          <t>Duplicate identity: legacy contractor account from before conversion to employee (2025-04-01); unused since 2025-03-28</t>
        </is>
      </c>
      <c r="U15" s="12" t="inlineStr">
        <is>
          <t>Deactivate rgupta2; confirm no tokens remain</t>
        </is>
      </c>
      <c r="V15" s="11" t="inlineStr">
        <is>
          <t>Nadia Rahman</t>
        </is>
      </c>
      <c r="W15" s="13" t="n">
        <v>46220</v>
      </c>
      <c r="X15" s="11" t="inlineStr">
        <is>
          <t>Completed</t>
        </is>
      </c>
      <c r="Y15" s="13" t="n">
        <v>46217</v>
      </c>
      <c r="Z15" s="11" t="inlineStr">
        <is>
          <t>EVID-061</t>
        </is>
      </c>
      <c r="AA15" s="11" t="inlineStr">
        <is>
          <t>FIND-004</t>
        </is>
      </c>
      <c r="AB15" s="11" t="inlineStr">
        <is>
          <t>AC-2</t>
        </is>
      </c>
      <c r="AC15" s="12" t="inlineStr">
        <is>
          <t>Engine flagged this as a terminated worker record; reviewer re-classified it as a duplicate (same person active as rgupta)</t>
        </is>
      </c>
      <c r="AD15">
        <f>IF(S15="",0,IF(COUNTIF(S$2:S15,S15&amp;"")=1,1,0))</f>
        <v/>
      </c>
    </row>
    <row r="16">
      <c r="A16" s="11" t="inlineStr">
        <is>
          <t>ENT-015</t>
        </is>
      </c>
      <c r="B16" s="11" t="inlineStr">
        <is>
          <t>vosei</t>
        </is>
      </c>
      <c r="C16" s="11" t="inlineStr">
        <is>
          <t>Contractor</t>
        </is>
      </c>
      <c r="D16" s="11" t="inlineStr">
        <is>
          <t>Engineering</t>
        </is>
      </c>
      <c r="E16" s="11" t="inlineStr">
        <is>
          <t>Contract Software Engineer</t>
        </is>
      </c>
      <c r="F16" s="11" t="inlineStr">
        <is>
          <t>Sofia Ricci</t>
        </is>
      </c>
      <c r="G16" s="11" t="inlineStr">
        <is>
          <t>Terminated</t>
        </is>
      </c>
      <c r="H16" s="11" t="inlineStr">
        <is>
          <t>Okta</t>
        </is>
      </c>
      <c r="I16" s="11" t="inlineStr">
        <is>
          <t>SSO account (standard user)</t>
        </is>
      </c>
      <c r="J16" s="11" t="inlineStr">
        <is>
          <t>N</t>
        </is>
      </c>
      <c r="K16" s="11" t="inlineStr">
        <is>
          <t>N</t>
        </is>
      </c>
      <c r="L16" s="13" t="n">
        <v>45908</v>
      </c>
      <c r="M16" s="13" t="n">
        <v>46182</v>
      </c>
      <c r="N16" s="12" t="inlineStr">
        <is>
          <t>Contractor SSO (Northgate SOW 2025-044)</t>
        </is>
      </c>
      <c r="O16" s="11" t="inlineStr">
        <is>
          <t>Sofia Ricci</t>
        </is>
      </c>
      <c r="P16" s="13" t="n">
        <v>46209</v>
      </c>
      <c r="Q16" s="11" t="inlineStr">
        <is>
          <t>F-TERM</t>
        </is>
      </c>
      <c r="R16" s="11" t="inlineStr">
        <is>
          <t>Revoke</t>
        </is>
      </c>
      <c r="S16" s="11" t="inlineStr">
        <is>
          <t>AR-EX-02</t>
        </is>
      </c>
      <c r="T16" s="12" t="inlineStr">
        <is>
          <t>Terminated contractor (engagement ended 2026-06-05) still enabled; Okta sign-in on 2026-06-09 after end date</t>
        </is>
      </c>
      <c r="U16" s="12" t="inlineStr">
        <is>
          <t>Disable Okta; revoke sessions; open incident to investigate post-termination sign-in</t>
        </is>
      </c>
      <c r="V16" s="11" t="inlineStr">
        <is>
          <t>Nadia Rahman</t>
        </is>
      </c>
      <c r="W16" s="13" t="n">
        <v>46209</v>
      </c>
      <c r="X16" s="11" t="inlineStr">
        <is>
          <t>Completed</t>
        </is>
      </c>
      <c r="Y16" s="13" t="n">
        <v>46209</v>
      </c>
      <c r="Z16" s="11" t="inlineStr">
        <is>
          <t>EVID-061; EVID-078</t>
        </is>
      </c>
      <c r="AA16" s="11" t="inlineStr">
        <is>
          <t>FIND-001</t>
        </is>
      </c>
      <c r="AB16" s="11" t="inlineStr">
        <is>
          <t>AC-2(3); PS-7; IR-4</t>
        </is>
      </c>
      <c r="AC16" s="12" t="inlineStr">
        <is>
          <t>Escalated to CISO same day as INC-2026-0117 (see incident record)</t>
        </is>
      </c>
      <c r="AD16">
        <f>IF(S16="",0,IF(COUNTIF(S$2:S16,S16&amp;"")=1,1,0))</f>
        <v/>
      </c>
    </row>
    <row r="17">
      <c r="A17" s="11" t="inlineStr">
        <is>
          <t>ENT-016</t>
        </is>
      </c>
      <c r="B17" s="11" t="inlineStr">
        <is>
          <t>awu</t>
        </is>
      </c>
      <c r="C17" s="11" t="inlineStr">
        <is>
          <t>Contractor</t>
        </is>
      </c>
      <c r="D17" s="11" t="inlineStr">
        <is>
          <t>Engineering</t>
        </is>
      </c>
      <c r="E17" s="11" t="inlineStr">
        <is>
          <t>Contract QA Engineer</t>
        </is>
      </c>
      <c r="F17" s="11" t="inlineStr">
        <is>
          <t>Sofia Ricci</t>
        </is>
      </c>
      <c r="G17" s="11" t="inlineStr">
        <is>
          <t>Active</t>
        </is>
      </c>
      <c r="H17" s="11" t="inlineStr">
        <is>
          <t>Okta</t>
        </is>
      </c>
      <c r="I17" s="11" t="inlineStr">
        <is>
          <t>SSO account (standard user)</t>
        </is>
      </c>
      <c r="J17" s="11" t="inlineStr">
        <is>
          <t>N</t>
        </is>
      </c>
      <c r="K17" s="11" t="inlineStr">
        <is>
          <t>N</t>
        </is>
      </c>
      <c r="L17" s="13" t="n">
        <v>45992</v>
      </c>
      <c r="M17" s="13" t="n">
        <v>46203</v>
      </c>
      <c r="N17" s="12" t="inlineStr">
        <is>
          <t>Contractor SSO (Northgate SOW 2025-061)</t>
        </is>
      </c>
      <c r="O17" s="11" t="inlineStr">
        <is>
          <t>Sofia Ricci</t>
        </is>
      </c>
      <c r="P17" s="13" t="n">
        <v>46211</v>
      </c>
      <c r="Q17" s="11" t="inlineStr">
        <is>
          <t>F-CONTRACT</t>
        </is>
      </c>
      <c r="R17" s="11" t="inlineStr">
        <is>
          <t>Retain with exception</t>
        </is>
      </c>
      <c r="S17" s="11" t="inlineStr">
        <is>
          <t>AR-EX-15</t>
        </is>
      </c>
      <c r="T17" s="12" t="inlineStr">
        <is>
          <t>Contract end date (2026-05-31) passed in PeopleHub while the contractor was still engaged; manager confirmed extension and SOW amendment pending</t>
        </is>
      </c>
      <c r="U17" s="12" t="inlineStr">
        <is>
          <t>Execute SOW amendment; update end date in PeopleHub; set Okta account expiry</t>
        </is>
      </c>
      <c r="V17" s="11" t="inlineStr">
        <is>
          <t>Sofia Ricci</t>
        </is>
      </c>
      <c r="W17" s="13" t="n">
        <v>46227</v>
      </c>
      <c r="X17" s="11" t="inlineStr">
        <is>
          <t>Completed</t>
        </is>
      </c>
      <c r="Y17" s="13" t="n">
        <v>46225</v>
      </c>
      <c r="Z17" s="11" t="inlineStr">
        <is>
          <t>EVID-066</t>
        </is>
      </c>
      <c r="AA17" s="11" t="inlineStr">
        <is>
          <t>FIND-006</t>
        </is>
      </c>
      <c r="AB17" s="11" t="inlineStr">
        <is>
          <t>PS-7</t>
        </is>
      </c>
      <c r="AC17" s="12" t="inlineStr">
        <is>
          <t>Ambiguous case: access was legitimate in fact but unsupported on paper for 22 days</t>
        </is>
      </c>
      <c r="AD17">
        <f>IF(S17="",0,IF(COUNTIF(S$2:S17,S17&amp;"")=1,1,0))</f>
        <v/>
      </c>
    </row>
    <row r="18">
      <c r="A18" s="11" t="inlineStr">
        <is>
          <t>ENT-017</t>
        </is>
      </c>
      <c r="B18" s="11" t="inlineStr">
        <is>
          <t>lporter</t>
        </is>
      </c>
      <c r="C18" s="11" t="inlineStr">
        <is>
          <t>Employee</t>
        </is>
      </c>
      <c r="D18" s="11" t="inlineStr">
        <is>
          <t>Data Engineering</t>
        </is>
      </c>
      <c r="E18" s="11" t="inlineStr">
        <is>
          <t>Data Engineering Manager</t>
        </is>
      </c>
      <c r="F18" s="11" t="inlineStr">
        <is>
          <t>Samir Haddad</t>
        </is>
      </c>
      <c r="G18" s="11" t="inlineStr">
        <is>
          <t>Active</t>
        </is>
      </c>
      <c r="H18" s="11" t="inlineStr">
        <is>
          <t>Okta</t>
        </is>
      </c>
      <c r="I18" s="11" t="inlineStr">
        <is>
          <t>SSO account (standard user)</t>
        </is>
      </c>
      <c r="J18" s="11" t="inlineStr">
        <is>
          <t>N</t>
        </is>
      </c>
      <c r="K18" s="11" t="inlineStr">
        <is>
          <t>N</t>
        </is>
      </c>
      <c r="L18" s="13" t="n">
        <v>44319</v>
      </c>
      <c r="M18" s="13" t="n">
        <v>46203</v>
      </c>
      <c r="N18" s="12" t="inlineStr">
        <is>
          <t>Workforce SSO</t>
        </is>
      </c>
      <c r="O18" s="11" t="inlineStr">
        <is>
          <t>Samir Haddad</t>
        </is>
      </c>
      <c r="P18" s="13" t="n">
        <v>46213</v>
      </c>
      <c r="Q18" s="11" t="inlineStr"/>
      <c r="R18" s="11" t="inlineStr">
        <is>
          <t>Retain</t>
        </is>
      </c>
      <c r="S18" s="11" t="inlineStr"/>
      <c r="T18" s="12" t="inlineStr">
        <is>
          <t>None</t>
        </is>
      </c>
      <c r="U18" s="12" t="inlineStr"/>
      <c r="V18" s="11" t="inlineStr"/>
      <c r="W18" s="13" t="n"/>
      <c r="X18" s="11" t="inlineStr">
        <is>
          <t>Completed</t>
        </is>
      </c>
      <c r="Y18" s="13" t="n">
        <v>46213</v>
      </c>
      <c r="Z18" s="11" t="inlineStr"/>
      <c r="AA18" s="11" t="inlineStr"/>
      <c r="AB18" s="11" t="inlineStr"/>
      <c r="AC18" s="12" t="inlineStr"/>
      <c r="AD18">
        <f>IF(S18="",0,IF(COUNTIF(S$2:S18,S18&amp;"")=1,1,0))</f>
        <v/>
      </c>
    </row>
    <row r="19">
      <c r="A19" s="11" t="inlineStr">
        <is>
          <t>ENT-018</t>
        </is>
      </c>
      <c r="B19" s="11" t="inlineStr">
        <is>
          <t>bnguyen</t>
        </is>
      </c>
      <c r="C19" s="11" t="inlineStr">
        <is>
          <t>Employee</t>
        </is>
      </c>
      <c r="D19" s="11" t="inlineStr">
        <is>
          <t>Data Engineering</t>
        </is>
      </c>
      <c r="E19" s="11" t="inlineStr">
        <is>
          <t>Data Engineer</t>
        </is>
      </c>
      <c r="F19" s="11" t="inlineStr">
        <is>
          <t>Liam Porter</t>
        </is>
      </c>
      <c r="G19" s="11" t="inlineStr">
        <is>
          <t>Active</t>
        </is>
      </c>
      <c r="H19" s="11" t="inlineStr">
        <is>
          <t>Okta</t>
        </is>
      </c>
      <c r="I19" s="11" t="inlineStr">
        <is>
          <t>SSO account (standard user)</t>
        </is>
      </c>
      <c r="J19" s="11" t="inlineStr">
        <is>
          <t>N</t>
        </is>
      </c>
      <c r="K19" s="11" t="inlineStr">
        <is>
          <t>N</t>
        </is>
      </c>
      <c r="L19" s="13" t="n">
        <v>44606</v>
      </c>
      <c r="M19" s="13" t="n">
        <v>46203</v>
      </c>
      <c r="N19" s="12" t="inlineStr">
        <is>
          <t>Workforce SSO</t>
        </is>
      </c>
      <c r="O19" s="11" t="inlineStr">
        <is>
          <t>Liam Porter</t>
        </is>
      </c>
      <c r="P19" s="13" t="n">
        <v>46213</v>
      </c>
      <c r="Q19" s="11" t="inlineStr"/>
      <c r="R19" s="11" t="inlineStr">
        <is>
          <t>Retain</t>
        </is>
      </c>
      <c r="S19" s="11" t="inlineStr"/>
      <c r="T19" s="12" t="inlineStr">
        <is>
          <t>None</t>
        </is>
      </c>
      <c r="U19" s="12" t="inlineStr"/>
      <c r="V19" s="11" t="inlineStr"/>
      <c r="W19" s="13" t="n"/>
      <c r="X19" s="11" t="inlineStr">
        <is>
          <t>Completed</t>
        </is>
      </c>
      <c r="Y19" s="13" t="n">
        <v>46213</v>
      </c>
      <c r="Z19" s="11" t="inlineStr"/>
      <c r="AA19" s="11" t="inlineStr"/>
      <c r="AB19" s="11" t="inlineStr"/>
      <c r="AC19" s="12" t="inlineStr"/>
      <c r="AD19">
        <f>IF(S19="",0,IF(COUNTIF(S$2:S19,S19&amp;"")=1,1,0))</f>
        <v/>
      </c>
    </row>
    <row r="20">
      <c r="A20" s="11" t="inlineStr">
        <is>
          <t>ENT-019</t>
        </is>
      </c>
      <c r="B20" s="11" t="inlineStr">
        <is>
          <t>cfernandes</t>
        </is>
      </c>
      <c r="C20" s="11" t="inlineStr">
        <is>
          <t>Employee</t>
        </is>
      </c>
      <c r="D20" s="11" t="inlineStr">
        <is>
          <t>Data Engineering</t>
        </is>
      </c>
      <c r="E20" s="11" t="inlineStr">
        <is>
          <t>Data Engineer</t>
        </is>
      </c>
      <c r="F20" s="11" t="inlineStr">
        <is>
          <t>Liam Porter</t>
        </is>
      </c>
      <c r="G20" s="11" t="inlineStr">
        <is>
          <t>Active</t>
        </is>
      </c>
      <c r="H20" s="11" t="inlineStr">
        <is>
          <t>Okta</t>
        </is>
      </c>
      <c r="I20" s="11" t="inlineStr">
        <is>
          <t>SSO account (standard user)</t>
        </is>
      </c>
      <c r="J20" s="11" t="inlineStr">
        <is>
          <t>N</t>
        </is>
      </c>
      <c r="K20" s="11" t="inlineStr">
        <is>
          <t>N</t>
        </is>
      </c>
      <c r="L20" s="13" t="n">
        <v>45082</v>
      </c>
      <c r="M20" s="13" t="n">
        <v>46203</v>
      </c>
      <c r="N20" s="12" t="inlineStr">
        <is>
          <t>Workforce SSO</t>
        </is>
      </c>
      <c r="O20" s="11" t="inlineStr">
        <is>
          <t>Liam Porter</t>
        </is>
      </c>
      <c r="P20" s="13" t="n">
        <v>46213</v>
      </c>
      <c r="Q20" s="11" t="inlineStr"/>
      <c r="R20" s="11" t="inlineStr">
        <is>
          <t>Retain</t>
        </is>
      </c>
      <c r="S20" s="11" t="inlineStr"/>
      <c r="T20" s="12" t="inlineStr">
        <is>
          <t>None</t>
        </is>
      </c>
      <c r="U20" s="12" t="inlineStr"/>
      <c r="V20" s="11" t="inlineStr"/>
      <c r="W20" s="13" t="n"/>
      <c r="X20" s="11" t="inlineStr">
        <is>
          <t>Completed</t>
        </is>
      </c>
      <c r="Y20" s="13" t="n">
        <v>46213</v>
      </c>
      <c r="Z20" s="11" t="inlineStr"/>
      <c r="AA20" s="11" t="inlineStr"/>
      <c r="AB20" s="11" t="inlineStr"/>
      <c r="AC20" s="12" t="inlineStr"/>
      <c r="AD20">
        <f>IF(S20="",0,IF(COUNTIF(S$2:S20,S20&amp;"")=1,1,0))</f>
        <v/>
      </c>
    </row>
    <row r="21">
      <c r="A21" s="11" t="inlineStr">
        <is>
          <t>ENT-020</t>
        </is>
      </c>
      <c r="B21" s="11" t="inlineStr">
        <is>
          <t>kbrandt</t>
        </is>
      </c>
      <c r="C21" s="11" t="inlineStr">
        <is>
          <t>Employee</t>
        </is>
      </c>
      <c r="D21" s="11" t="inlineStr">
        <is>
          <t>IT</t>
        </is>
      </c>
      <c r="E21" s="11" t="inlineStr">
        <is>
          <t>IT Manager</t>
        </is>
      </c>
      <c r="F21" s="11" t="inlineStr">
        <is>
          <t>Samir Haddad</t>
        </is>
      </c>
      <c r="G21" s="11" t="inlineStr">
        <is>
          <t>Active</t>
        </is>
      </c>
      <c r="H21" s="11" t="inlineStr">
        <is>
          <t>Okta</t>
        </is>
      </c>
      <c r="I21" s="11" t="inlineStr">
        <is>
          <t>SSO account (standard user)</t>
        </is>
      </c>
      <c r="J21" s="11" t="inlineStr">
        <is>
          <t>N</t>
        </is>
      </c>
      <c r="K21" s="11" t="inlineStr">
        <is>
          <t>N</t>
        </is>
      </c>
      <c r="L21" s="13" t="n">
        <v>43717</v>
      </c>
      <c r="M21" s="13" t="n">
        <v>46203</v>
      </c>
      <c r="N21" s="12" t="inlineStr">
        <is>
          <t>Workforce SSO</t>
        </is>
      </c>
      <c r="O21" s="11" t="inlineStr">
        <is>
          <t>Samir Haddad</t>
        </is>
      </c>
      <c r="P21" s="13" t="n">
        <v>46210</v>
      </c>
      <c r="Q21" s="11" t="inlineStr">
        <is>
          <t>F-MFA</t>
        </is>
      </c>
      <c r="R21" s="11" t="inlineStr">
        <is>
          <t>Modify</t>
        </is>
      </c>
      <c r="S21" s="11" t="inlineStr">
        <is>
          <t>AR-EX-11</t>
        </is>
      </c>
      <c r="T21" s="12" t="inlineStr">
        <is>
          <t>Member of MFA-Exempt-Legacy group; MFA not enforced (user also held Okta Super Administrator)</t>
        </is>
      </c>
      <c r="U21" s="12" t="inlineStr">
        <is>
          <t>Remove from exemption group; enroll phishing-resistant MFA</t>
        </is>
      </c>
      <c r="V21" s="11" t="inlineStr">
        <is>
          <t>Nadia Rahman</t>
        </is>
      </c>
      <c r="W21" s="13" t="n">
        <v>46270</v>
      </c>
      <c r="X21" s="11" t="inlineStr">
        <is>
          <t>Completed</t>
        </is>
      </c>
      <c r="Y21" s="13" t="n">
        <v>46262</v>
      </c>
      <c r="Z21" s="11" t="inlineStr">
        <is>
          <t>EVID-063</t>
        </is>
      </c>
      <c r="AA21" s="11" t="inlineStr">
        <is>
          <t>FIND-002</t>
        </is>
      </c>
      <c r="AB21" s="11" t="inlineStr">
        <is>
          <t>IA-2(1); IA-2(2)</t>
        </is>
      </c>
      <c r="AC21" s="12" t="inlineStr">
        <is>
          <t>Exemption dated 2023 (MFA outage troubleshooting) and never removed</t>
        </is>
      </c>
      <c r="AD21">
        <f>IF(S21="",0,IF(COUNTIF(S$2:S21,S21&amp;"")=1,1,0))</f>
        <v/>
      </c>
    </row>
    <row r="22">
      <c r="A22" s="11" t="inlineStr">
        <is>
          <t>ENT-021</t>
        </is>
      </c>
      <c r="B22" s="11" t="inlineStr">
        <is>
          <t>tjohnson</t>
        </is>
      </c>
      <c r="C22" s="11" t="inlineStr">
        <is>
          <t>Employee</t>
        </is>
      </c>
      <c r="D22" s="11" t="inlineStr">
        <is>
          <t>IT</t>
        </is>
      </c>
      <c r="E22" s="11" t="inlineStr">
        <is>
          <t>IT Support Specialist</t>
        </is>
      </c>
      <c r="F22" s="11" t="inlineStr">
        <is>
          <t>Kevin Brandt</t>
        </is>
      </c>
      <c r="G22" s="11" t="inlineStr">
        <is>
          <t>Active</t>
        </is>
      </c>
      <c r="H22" s="11" t="inlineStr">
        <is>
          <t>Okta</t>
        </is>
      </c>
      <c r="I22" s="11" t="inlineStr">
        <is>
          <t>SSO account (standard user)</t>
        </is>
      </c>
      <c r="J22" s="11" t="inlineStr">
        <is>
          <t>N</t>
        </is>
      </c>
      <c r="K22" s="11" t="inlineStr">
        <is>
          <t>N</t>
        </is>
      </c>
      <c r="L22" s="13" t="n">
        <v>45327</v>
      </c>
      <c r="M22" s="13" t="n">
        <v>46203</v>
      </c>
      <c r="N22" s="12" t="inlineStr">
        <is>
          <t>Workforce SSO</t>
        </is>
      </c>
      <c r="O22" s="11" t="inlineStr">
        <is>
          <t>Kevin Brandt</t>
        </is>
      </c>
      <c r="P22" s="13" t="n">
        <v>46213</v>
      </c>
      <c r="Q22" s="11" t="inlineStr"/>
      <c r="R22" s="11" t="inlineStr">
        <is>
          <t>Retain</t>
        </is>
      </c>
      <c r="S22" s="11" t="inlineStr"/>
      <c r="T22" s="12" t="inlineStr">
        <is>
          <t>None</t>
        </is>
      </c>
      <c r="U22" s="12" t="inlineStr"/>
      <c r="V22" s="11" t="inlineStr"/>
      <c r="W22" s="13" t="n"/>
      <c r="X22" s="11" t="inlineStr">
        <is>
          <t>Completed</t>
        </is>
      </c>
      <c r="Y22" s="13" t="n">
        <v>46213</v>
      </c>
      <c r="Z22" s="11" t="inlineStr"/>
      <c r="AA22" s="11" t="inlineStr"/>
      <c r="AB22" s="11" t="inlineStr"/>
      <c r="AC22" s="12" t="inlineStr"/>
      <c r="AD22">
        <f>IF(S22="",0,IF(COUNTIF(S$2:S22,S22&amp;"")=1,1,0))</f>
        <v/>
      </c>
    </row>
    <row r="23">
      <c r="A23" s="11" t="inlineStr">
        <is>
          <t>ENT-022</t>
        </is>
      </c>
      <c r="B23" s="11" t="inlineStr">
        <is>
          <t>rokafor</t>
        </is>
      </c>
      <c r="C23" s="11" t="inlineStr">
        <is>
          <t>Employee</t>
        </is>
      </c>
      <c r="D23" s="11" t="inlineStr">
        <is>
          <t>Finance</t>
        </is>
      </c>
      <c r="E23" s="11" t="inlineStr">
        <is>
          <t>Chief Financial Officer</t>
        </is>
      </c>
      <c r="F23" s="11" t="inlineStr">
        <is>
          <t>Elena Marsh</t>
        </is>
      </c>
      <c r="G23" s="11" t="inlineStr">
        <is>
          <t>Active</t>
        </is>
      </c>
      <c r="H23" s="11" t="inlineStr">
        <is>
          <t>Okta</t>
        </is>
      </c>
      <c r="I23" s="11" t="inlineStr">
        <is>
          <t>SSO account (standard user)</t>
        </is>
      </c>
      <c r="J23" s="11" t="inlineStr">
        <is>
          <t>N</t>
        </is>
      </c>
      <c r="K23" s="11" t="inlineStr">
        <is>
          <t>N</t>
        </is>
      </c>
      <c r="L23" s="13" t="n">
        <v>43836</v>
      </c>
      <c r="M23" s="13" t="n">
        <v>46199</v>
      </c>
      <c r="N23" s="12" t="inlineStr">
        <is>
          <t>Workforce SSO</t>
        </is>
      </c>
      <c r="O23" s="11" t="inlineStr">
        <is>
          <t>Elena Marsh</t>
        </is>
      </c>
      <c r="P23" s="13" t="n">
        <v>46213</v>
      </c>
      <c r="Q23" s="11" t="inlineStr"/>
      <c r="R23" s="11" t="inlineStr">
        <is>
          <t>Retain</t>
        </is>
      </c>
      <c r="S23" s="11" t="inlineStr"/>
      <c r="T23" s="12" t="inlineStr">
        <is>
          <t>None</t>
        </is>
      </c>
      <c r="U23" s="12" t="inlineStr"/>
      <c r="V23" s="11" t="inlineStr"/>
      <c r="W23" s="13" t="n"/>
      <c r="X23" s="11" t="inlineStr">
        <is>
          <t>Completed</t>
        </is>
      </c>
      <c r="Y23" s="13" t="n">
        <v>46213</v>
      </c>
      <c r="Z23" s="11" t="inlineStr"/>
      <c r="AA23" s="11" t="inlineStr"/>
      <c r="AB23" s="11" t="inlineStr"/>
      <c r="AC23" s="12" t="inlineStr"/>
      <c r="AD23">
        <f>IF(S23="",0,IF(COUNTIF(S$2:S23,S23&amp;"")=1,1,0))</f>
        <v/>
      </c>
    </row>
    <row r="24">
      <c r="A24" s="11" t="inlineStr">
        <is>
          <t>ENT-023</t>
        </is>
      </c>
      <c r="B24" s="11" t="inlineStr">
        <is>
          <t>lbrenneman</t>
        </is>
      </c>
      <c r="C24" s="11" t="inlineStr">
        <is>
          <t>Employee</t>
        </is>
      </c>
      <c r="D24" s="11" t="inlineStr">
        <is>
          <t>Finance</t>
        </is>
      </c>
      <c r="E24" s="11" t="inlineStr">
        <is>
          <t>Controller</t>
        </is>
      </c>
      <c r="F24" s="11" t="inlineStr">
        <is>
          <t>Raymond Okafor</t>
        </is>
      </c>
      <c r="G24" s="11" t="inlineStr">
        <is>
          <t>Active</t>
        </is>
      </c>
      <c r="H24" s="11" t="inlineStr">
        <is>
          <t>Okta</t>
        </is>
      </c>
      <c r="I24" s="11" t="inlineStr">
        <is>
          <t>SSO account (standard user)</t>
        </is>
      </c>
      <c r="J24" s="11" t="inlineStr">
        <is>
          <t>N</t>
        </is>
      </c>
      <c r="K24" s="11" t="inlineStr">
        <is>
          <t>N</t>
        </is>
      </c>
      <c r="L24" s="13" t="n">
        <v>44473</v>
      </c>
      <c r="M24" s="13" t="n">
        <v>46203</v>
      </c>
      <c r="N24" s="12" t="inlineStr">
        <is>
          <t>Workforce SSO</t>
        </is>
      </c>
      <c r="O24" s="11" t="inlineStr">
        <is>
          <t>Raymond Okafor</t>
        </is>
      </c>
      <c r="P24" s="13" t="n">
        <v>46213</v>
      </c>
      <c r="Q24" s="11" t="inlineStr"/>
      <c r="R24" s="11" t="inlineStr">
        <is>
          <t>Retain</t>
        </is>
      </c>
      <c r="S24" s="11" t="inlineStr"/>
      <c r="T24" s="12" t="inlineStr">
        <is>
          <t>None</t>
        </is>
      </c>
      <c r="U24" s="12" t="inlineStr"/>
      <c r="V24" s="11" t="inlineStr"/>
      <c r="W24" s="13" t="n"/>
      <c r="X24" s="11" t="inlineStr">
        <is>
          <t>Completed</t>
        </is>
      </c>
      <c r="Y24" s="13" t="n">
        <v>46213</v>
      </c>
      <c r="Z24" s="11" t="inlineStr"/>
      <c r="AA24" s="11" t="inlineStr"/>
      <c r="AB24" s="11" t="inlineStr"/>
      <c r="AC24" s="12" t="inlineStr"/>
      <c r="AD24">
        <f>IF(S24="",0,IF(COUNTIF(S$2:S24,S24&amp;"")=1,1,0))</f>
        <v/>
      </c>
    </row>
    <row r="25">
      <c r="A25" s="11" t="inlineStr">
        <is>
          <t>ENT-024</t>
        </is>
      </c>
      <c r="B25" s="11" t="inlineStr">
        <is>
          <t>jmercer</t>
        </is>
      </c>
      <c r="C25" s="11" t="inlineStr">
        <is>
          <t>Employee</t>
        </is>
      </c>
      <c r="D25" s="11" t="inlineStr">
        <is>
          <t>Finance</t>
        </is>
      </c>
      <c r="E25" s="11" t="inlineStr">
        <is>
          <t>Senior Accountant</t>
        </is>
      </c>
      <c r="F25" s="11" t="inlineStr">
        <is>
          <t>Laura Brenneman</t>
        </is>
      </c>
      <c r="G25" s="11" t="inlineStr">
        <is>
          <t>Active</t>
        </is>
      </c>
      <c r="H25" s="11" t="inlineStr">
        <is>
          <t>Okta</t>
        </is>
      </c>
      <c r="I25" s="11" t="inlineStr">
        <is>
          <t>SSO account (standard user)</t>
        </is>
      </c>
      <c r="J25" s="11" t="inlineStr">
        <is>
          <t>N</t>
        </is>
      </c>
      <c r="K25" s="11" t="inlineStr">
        <is>
          <t>N</t>
        </is>
      </c>
      <c r="L25" s="13" t="n">
        <v>44795</v>
      </c>
      <c r="M25" s="13" t="n">
        <v>46203</v>
      </c>
      <c r="N25" s="12" t="inlineStr">
        <is>
          <t>Workforce SSO</t>
        </is>
      </c>
      <c r="O25" s="11" t="inlineStr">
        <is>
          <t>Laura Brenneman</t>
        </is>
      </c>
      <c r="P25" s="13" t="n">
        <v>46213</v>
      </c>
      <c r="Q25" s="11" t="inlineStr"/>
      <c r="R25" s="11" t="inlineStr">
        <is>
          <t>Retain</t>
        </is>
      </c>
      <c r="S25" s="11" t="inlineStr"/>
      <c r="T25" s="12" t="inlineStr">
        <is>
          <t>None</t>
        </is>
      </c>
      <c r="U25" s="12" t="inlineStr"/>
      <c r="V25" s="11" t="inlineStr"/>
      <c r="W25" s="13" t="n"/>
      <c r="X25" s="11" t="inlineStr">
        <is>
          <t>Completed</t>
        </is>
      </c>
      <c r="Y25" s="13" t="n">
        <v>46213</v>
      </c>
      <c r="Z25" s="11" t="inlineStr"/>
      <c r="AA25" s="11" t="inlineStr"/>
      <c r="AB25" s="11" t="inlineStr"/>
      <c r="AC25" s="12" t="inlineStr"/>
      <c r="AD25">
        <f>IF(S25="",0,IF(COUNTIF(S$2:S25,S25&amp;"")=1,1,0))</f>
        <v/>
      </c>
    </row>
    <row r="26">
      <c r="A26" s="11" t="inlineStr">
        <is>
          <t>ENT-025</t>
        </is>
      </c>
      <c r="B26" s="11" t="inlineStr">
        <is>
          <t>dwhitlock</t>
        </is>
      </c>
      <c r="C26" s="11" t="inlineStr">
        <is>
          <t>Employee</t>
        </is>
      </c>
      <c r="D26" s="11" t="inlineStr">
        <is>
          <t>Finance</t>
        </is>
      </c>
      <c r="E26" s="11" t="inlineStr">
        <is>
          <t>AP Specialist</t>
        </is>
      </c>
      <c r="F26" s="11" t="inlineStr">
        <is>
          <t>Laura Brenneman</t>
        </is>
      </c>
      <c r="G26" s="11" t="inlineStr">
        <is>
          <t>Terminated</t>
        </is>
      </c>
      <c r="H26" s="11" t="inlineStr">
        <is>
          <t>Okta</t>
        </is>
      </c>
      <c r="I26" s="11" t="inlineStr">
        <is>
          <t>SSO account (standard user)</t>
        </is>
      </c>
      <c r="J26" s="11" t="inlineStr">
        <is>
          <t>N</t>
        </is>
      </c>
      <c r="K26" s="11" t="inlineStr">
        <is>
          <t>N</t>
        </is>
      </c>
      <c r="L26" s="13" t="n">
        <v>45033</v>
      </c>
      <c r="M26" s="13" t="n">
        <v>46163</v>
      </c>
      <c r="N26" s="12" t="inlineStr">
        <is>
          <t>Workforce SSO</t>
        </is>
      </c>
      <c r="O26" s="11" t="inlineStr">
        <is>
          <t>Laura Brenneman</t>
        </is>
      </c>
      <c r="P26" s="13" t="n">
        <v>46209</v>
      </c>
      <c r="Q26" s="11" t="inlineStr">
        <is>
          <t>F-TERM</t>
        </is>
      </c>
      <c r="R26" s="11" t="inlineStr">
        <is>
          <t>Revoke</t>
        </is>
      </c>
      <c r="S26" s="11" t="inlineStr">
        <is>
          <t>AR-EX-01</t>
        </is>
      </c>
      <c r="T26" s="12" t="inlineStr">
        <is>
          <t>Terminated employee (2026-05-22) still enabled in Okta</t>
        </is>
      </c>
      <c r="U26" s="12" t="inlineStr">
        <is>
          <t>Disable Okta account; confirm no sign-in after termination</t>
        </is>
      </c>
      <c r="V26" s="11" t="inlineStr">
        <is>
          <t>Nadia Rahman</t>
        </is>
      </c>
      <c r="W26" s="13" t="n">
        <v>46210</v>
      </c>
      <c r="X26" s="11" t="inlineStr">
        <is>
          <t>Completed</t>
        </is>
      </c>
      <c r="Y26" s="13" t="n">
        <v>46209</v>
      </c>
      <c r="Z26" s="11" t="inlineStr">
        <is>
          <t>EVID-061</t>
        </is>
      </c>
      <c r="AA26" s="11" t="inlineStr">
        <is>
          <t>FIND-001</t>
        </is>
      </c>
      <c r="AB26" s="11" t="inlineStr">
        <is>
          <t>AC-2(3); PS-4</t>
        </is>
      </c>
      <c r="AC26" s="12" t="inlineStr">
        <is>
          <t>No sign-in after 2026-05-21 per Okta System Log</t>
        </is>
      </c>
      <c r="AD26">
        <f>IF(S26="",0,IF(COUNTIF(S$2:S26,S26&amp;"")=1,1,0))</f>
        <v/>
      </c>
    </row>
    <row r="27">
      <c r="A27" s="11" t="inlineStr">
        <is>
          <t>ENT-026</t>
        </is>
      </c>
      <c r="B27" s="11" t="inlineStr">
        <is>
          <t>bkowalski</t>
        </is>
      </c>
      <c r="C27" s="11" t="inlineStr">
        <is>
          <t>Employee</t>
        </is>
      </c>
      <c r="D27" s="11" t="inlineStr">
        <is>
          <t>Finance</t>
        </is>
      </c>
      <c r="E27" s="11" t="inlineStr">
        <is>
          <t>Vendor Management Lead</t>
        </is>
      </c>
      <c r="F27" s="11" t="inlineStr">
        <is>
          <t>Raymond Okafor</t>
        </is>
      </c>
      <c r="G27" s="11" t="inlineStr">
        <is>
          <t>Active</t>
        </is>
      </c>
      <c r="H27" s="11" t="inlineStr">
        <is>
          <t>Okta</t>
        </is>
      </c>
      <c r="I27" s="11" t="inlineStr">
        <is>
          <t>SSO account (standard user)</t>
        </is>
      </c>
      <c r="J27" s="11" t="inlineStr">
        <is>
          <t>N</t>
        </is>
      </c>
      <c r="K27" s="11" t="inlineStr">
        <is>
          <t>N</t>
        </is>
      </c>
      <c r="L27" s="13" t="n">
        <v>45180</v>
      </c>
      <c r="M27" s="13" t="n">
        <v>46202</v>
      </c>
      <c r="N27" s="12" t="inlineStr">
        <is>
          <t>Workforce SSO</t>
        </is>
      </c>
      <c r="O27" s="11" t="inlineStr">
        <is>
          <t>Raymond Okafor</t>
        </is>
      </c>
      <c r="P27" s="13" t="n">
        <v>46213</v>
      </c>
      <c r="Q27" s="11" t="inlineStr"/>
      <c r="R27" s="11" t="inlineStr">
        <is>
          <t>Retain</t>
        </is>
      </c>
      <c r="S27" s="11" t="inlineStr"/>
      <c r="T27" s="12" t="inlineStr">
        <is>
          <t>None</t>
        </is>
      </c>
      <c r="U27" s="12" t="inlineStr"/>
      <c r="V27" s="11" t="inlineStr"/>
      <c r="W27" s="13" t="n"/>
      <c r="X27" s="11" t="inlineStr">
        <is>
          <t>Completed</t>
        </is>
      </c>
      <c r="Y27" s="13" t="n">
        <v>46213</v>
      </c>
      <c r="Z27" s="11" t="inlineStr"/>
      <c r="AA27" s="11" t="inlineStr"/>
      <c r="AB27" s="11" t="inlineStr"/>
      <c r="AC27" s="12" t="inlineStr"/>
      <c r="AD27">
        <f>IF(S27="",0,IF(COUNTIF(S$2:S27,S27&amp;"")=1,1,0))</f>
        <v/>
      </c>
    </row>
    <row r="28">
      <c r="A28" s="11" t="inlineStr">
        <is>
          <t>ENT-027</t>
        </is>
      </c>
      <c r="B28" s="11" t="inlineStr">
        <is>
          <t>dyamamoto</t>
        </is>
      </c>
      <c r="C28" s="11" t="inlineStr">
        <is>
          <t>Employee</t>
        </is>
      </c>
      <c r="D28" s="11" t="inlineStr">
        <is>
          <t>People</t>
        </is>
      </c>
      <c r="E28" s="11" t="inlineStr">
        <is>
          <t>Director of People</t>
        </is>
      </c>
      <c r="F28" s="11" t="inlineStr">
        <is>
          <t>Elena Marsh</t>
        </is>
      </c>
      <c r="G28" s="11" t="inlineStr">
        <is>
          <t>Active</t>
        </is>
      </c>
      <c r="H28" s="11" t="inlineStr">
        <is>
          <t>Okta</t>
        </is>
      </c>
      <c r="I28" s="11" t="inlineStr">
        <is>
          <t>SSO account (standard user)</t>
        </is>
      </c>
      <c r="J28" s="11" t="inlineStr">
        <is>
          <t>N</t>
        </is>
      </c>
      <c r="K28" s="11" t="inlineStr">
        <is>
          <t>N</t>
        </is>
      </c>
      <c r="L28" s="13" t="n">
        <v>43892</v>
      </c>
      <c r="M28" s="13" t="n">
        <v>46203</v>
      </c>
      <c r="N28" s="12" t="inlineStr">
        <is>
          <t>Workforce SSO</t>
        </is>
      </c>
      <c r="O28" s="11" t="inlineStr">
        <is>
          <t>Elena Marsh</t>
        </is>
      </c>
      <c r="P28" s="13" t="n">
        <v>46213</v>
      </c>
      <c r="Q28" s="11" t="inlineStr"/>
      <c r="R28" s="11" t="inlineStr">
        <is>
          <t>Retain</t>
        </is>
      </c>
      <c r="S28" s="11" t="inlineStr"/>
      <c r="T28" s="12" t="inlineStr">
        <is>
          <t>None</t>
        </is>
      </c>
      <c r="U28" s="12" t="inlineStr"/>
      <c r="V28" s="11" t="inlineStr"/>
      <c r="W28" s="13" t="n"/>
      <c r="X28" s="11" t="inlineStr">
        <is>
          <t>Completed</t>
        </is>
      </c>
      <c r="Y28" s="13" t="n">
        <v>46213</v>
      </c>
      <c r="Z28" s="11" t="inlineStr"/>
      <c r="AA28" s="11" t="inlineStr"/>
      <c r="AB28" s="11" t="inlineStr"/>
      <c r="AC28" s="12" t="inlineStr"/>
      <c r="AD28">
        <f>IF(S28="",0,IF(COUNTIF(S$2:S28,S28&amp;"")=1,1,0))</f>
        <v/>
      </c>
    </row>
    <row r="29">
      <c r="A29" s="11" t="inlineStr">
        <is>
          <t>ENT-028</t>
        </is>
      </c>
      <c r="B29" s="11" t="inlineStr">
        <is>
          <t>mcole</t>
        </is>
      </c>
      <c r="C29" s="11" t="inlineStr">
        <is>
          <t>Employee</t>
        </is>
      </c>
      <c r="D29" s="11" t="inlineStr">
        <is>
          <t>People</t>
        </is>
      </c>
      <c r="E29" s="11" t="inlineStr">
        <is>
          <t>HR Business Partner</t>
        </is>
      </c>
      <c r="F29" s="11" t="inlineStr">
        <is>
          <t>Denise Yamamoto</t>
        </is>
      </c>
      <c r="G29" s="11" t="inlineStr">
        <is>
          <t>Active</t>
        </is>
      </c>
      <c r="H29" s="11" t="inlineStr">
        <is>
          <t>Okta</t>
        </is>
      </c>
      <c r="I29" s="11" t="inlineStr">
        <is>
          <t>SSO account (standard user)</t>
        </is>
      </c>
      <c r="J29" s="11" t="inlineStr">
        <is>
          <t>N</t>
        </is>
      </c>
      <c r="K29" s="11" t="inlineStr">
        <is>
          <t>N</t>
        </is>
      </c>
      <c r="L29" s="13" t="n">
        <v>44739</v>
      </c>
      <c r="M29" s="13" t="n">
        <v>46203</v>
      </c>
      <c r="N29" s="12" t="inlineStr">
        <is>
          <t>Workforce SSO</t>
        </is>
      </c>
      <c r="O29" s="11" t="inlineStr">
        <is>
          <t>Denise Yamamoto</t>
        </is>
      </c>
      <c r="P29" s="13" t="n">
        <v>46210</v>
      </c>
      <c r="Q29" s="11" t="inlineStr">
        <is>
          <t>F-MFA</t>
        </is>
      </c>
      <c r="R29" s="11" t="inlineStr">
        <is>
          <t>Modify</t>
        </is>
      </c>
      <c r="S29" s="11" t="inlineStr">
        <is>
          <t>AR-EX-11</t>
        </is>
      </c>
      <c r="T29" s="12" t="inlineStr">
        <is>
          <t>Member of MFA-Exempt-Legacy group; MFA not enforced</t>
        </is>
      </c>
      <c r="U29" s="12" t="inlineStr">
        <is>
          <t>Remove from exemption group; enroll MFA</t>
        </is>
      </c>
      <c r="V29" s="11" t="inlineStr">
        <is>
          <t>Nadia Rahman</t>
        </is>
      </c>
      <c r="W29" s="13" t="n">
        <v>46270</v>
      </c>
      <c r="X29" s="11" t="inlineStr">
        <is>
          <t>Completed</t>
        </is>
      </c>
      <c r="Y29" s="13" t="n">
        <v>46262</v>
      </c>
      <c r="Z29" s="11" t="inlineStr">
        <is>
          <t>EVID-063</t>
        </is>
      </c>
      <c r="AA29" s="11" t="inlineStr">
        <is>
          <t>FIND-002</t>
        </is>
      </c>
      <c r="AB29" s="11" t="inlineStr">
        <is>
          <t>IA-2(2)</t>
        </is>
      </c>
      <c r="AC29" s="12" t="inlineStr">
        <is>
          <t>"Temporary" exemption for a lost phone in 2025 never removed</t>
        </is>
      </c>
      <c r="AD29">
        <f>IF(S29="",0,IF(COUNTIF(S$2:S29,S29&amp;"")=1,1,0))</f>
        <v/>
      </c>
    </row>
    <row r="30">
      <c r="A30" s="11" t="inlineStr">
        <is>
          <t>ENT-029</t>
        </is>
      </c>
      <c r="B30" s="11" t="inlineStr">
        <is>
          <t>sparks</t>
        </is>
      </c>
      <c r="C30" s="11" t="inlineStr">
        <is>
          <t>Employee</t>
        </is>
      </c>
      <c r="D30" s="11" t="inlineStr">
        <is>
          <t>Product</t>
        </is>
      </c>
      <c r="E30" s="11" t="inlineStr">
        <is>
          <t>Product Manager</t>
        </is>
      </c>
      <c r="F30" s="11" t="inlineStr">
        <is>
          <t>Grace Lindqvist</t>
        </is>
      </c>
      <c r="G30" s="11" t="inlineStr">
        <is>
          <t>Active</t>
        </is>
      </c>
      <c r="H30" s="11" t="inlineStr">
        <is>
          <t>Okta</t>
        </is>
      </c>
      <c r="I30" s="11" t="inlineStr">
        <is>
          <t>SSO account (standard user)</t>
        </is>
      </c>
      <c r="J30" s="11" t="inlineStr">
        <is>
          <t>N</t>
        </is>
      </c>
      <c r="K30" s="11" t="inlineStr">
        <is>
          <t>N</t>
        </is>
      </c>
      <c r="L30" s="13" t="n">
        <v>45117</v>
      </c>
      <c r="M30" s="13" t="n">
        <v>46203</v>
      </c>
      <c r="N30" s="12" t="inlineStr">
        <is>
          <t>Workforce SSO</t>
        </is>
      </c>
      <c r="O30" s="11" t="inlineStr">
        <is>
          <t>Grace Lindqvist</t>
        </is>
      </c>
      <c r="P30" s="13" t="n">
        <v>46213</v>
      </c>
      <c r="Q30" s="11" t="inlineStr"/>
      <c r="R30" s="11" t="inlineStr">
        <is>
          <t>Retain</t>
        </is>
      </c>
      <c r="S30" s="11" t="inlineStr"/>
      <c r="T30" s="12" t="inlineStr">
        <is>
          <t>None</t>
        </is>
      </c>
      <c r="U30" s="12" t="inlineStr"/>
      <c r="V30" s="11" t="inlineStr"/>
      <c r="W30" s="13" t="n"/>
      <c r="X30" s="11" t="inlineStr">
        <is>
          <t>Completed</t>
        </is>
      </c>
      <c r="Y30" s="13" t="n">
        <v>46213</v>
      </c>
      <c r="Z30" s="11" t="inlineStr"/>
      <c r="AA30" s="11" t="inlineStr"/>
      <c r="AB30" s="11" t="inlineStr"/>
      <c r="AC30" s="12" t="inlineStr"/>
      <c r="AD30">
        <f>IF(S30="",0,IF(COUNTIF(S$2:S30,S30&amp;"")=1,1,0))</f>
        <v/>
      </c>
    </row>
    <row r="31">
      <c r="A31" s="11" t="inlineStr">
        <is>
          <t>ENT-030</t>
        </is>
      </c>
      <c r="B31" s="11" t="inlineStr">
        <is>
          <t>tmaddox</t>
        </is>
      </c>
      <c r="C31" s="11" t="inlineStr">
        <is>
          <t>Employee</t>
        </is>
      </c>
      <c r="D31" s="11" t="inlineStr">
        <is>
          <t>Customer Operations</t>
        </is>
      </c>
      <c r="E31" s="11" t="inlineStr">
        <is>
          <t>Support Engineer</t>
        </is>
      </c>
      <c r="F31" s="11" t="inlineStr">
        <is>
          <t>Jorge Almeida</t>
        </is>
      </c>
      <c r="G31" s="11" t="inlineStr">
        <is>
          <t>Active</t>
        </is>
      </c>
      <c r="H31" s="11" t="inlineStr">
        <is>
          <t>Okta</t>
        </is>
      </c>
      <c r="I31" s="11" t="inlineStr">
        <is>
          <t>SSO account (standard user)</t>
        </is>
      </c>
      <c r="J31" s="11" t="inlineStr">
        <is>
          <t>N</t>
        </is>
      </c>
      <c r="K31" s="11" t="inlineStr">
        <is>
          <t>N</t>
        </is>
      </c>
      <c r="L31" s="13" t="n">
        <v>44837</v>
      </c>
      <c r="M31" s="13" t="n">
        <v>46203</v>
      </c>
      <c r="N31" s="12" t="inlineStr">
        <is>
          <t>Workforce SSO</t>
        </is>
      </c>
      <c r="O31" s="11" t="inlineStr">
        <is>
          <t>Jorge Almeida</t>
        </is>
      </c>
      <c r="P31" s="13" t="n">
        <v>46213</v>
      </c>
      <c r="Q31" s="11" t="inlineStr"/>
      <c r="R31" s="11" t="inlineStr">
        <is>
          <t>Retain</t>
        </is>
      </c>
      <c r="S31" s="11" t="inlineStr"/>
      <c r="T31" s="12" t="inlineStr">
        <is>
          <t>None</t>
        </is>
      </c>
      <c r="U31" s="12" t="inlineStr"/>
      <c r="V31" s="11" t="inlineStr"/>
      <c r="W31" s="13" t="n"/>
      <c r="X31" s="11" t="inlineStr">
        <is>
          <t>Completed</t>
        </is>
      </c>
      <c r="Y31" s="13" t="n">
        <v>46213</v>
      </c>
      <c r="Z31" s="11" t="inlineStr"/>
      <c r="AA31" s="11" t="inlineStr"/>
      <c r="AB31" s="11" t="inlineStr"/>
      <c r="AC31" s="12" t="inlineStr"/>
      <c r="AD31">
        <f>IF(S31="",0,IF(COUNTIF(S$2:S31,S31&amp;"")=1,1,0))</f>
        <v/>
      </c>
    </row>
    <row r="32">
      <c r="A32" s="11" t="inlineStr">
        <is>
          <t>ENT-031</t>
        </is>
      </c>
      <c r="B32" s="11" t="inlineStr">
        <is>
          <t>ebrooks</t>
        </is>
      </c>
      <c r="C32" s="11" t="inlineStr">
        <is>
          <t>Employee</t>
        </is>
      </c>
      <c r="D32" s="11" t="inlineStr">
        <is>
          <t>Customer Operations</t>
        </is>
      </c>
      <c r="E32" s="11" t="inlineStr">
        <is>
          <t>Support Engineer</t>
        </is>
      </c>
      <c r="F32" s="11" t="inlineStr">
        <is>
          <t>Jorge Almeida</t>
        </is>
      </c>
      <c r="G32" s="11" t="inlineStr">
        <is>
          <t>Active</t>
        </is>
      </c>
      <c r="H32" s="11" t="inlineStr">
        <is>
          <t>Okta</t>
        </is>
      </c>
      <c r="I32" s="11" t="inlineStr">
        <is>
          <t>SSO account (standard user)</t>
        </is>
      </c>
      <c r="J32" s="11" t="inlineStr">
        <is>
          <t>N</t>
        </is>
      </c>
      <c r="K32" s="11" t="inlineStr">
        <is>
          <t>N</t>
        </is>
      </c>
      <c r="L32" s="13" t="n">
        <v>45432</v>
      </c>
      <c r="M32" s="13" t="n">
        <v>46203</v>
      </c>
      <c r="N32" s="12" t="inlineStr">
        <is>
          <t>Workforce SSO</t>
        </is>
      </c>
      <c r="O32" s="11" t="inlineStr">
        <is>
          <t>Jorge Almeida</t>
        </is>
      </c>
      <c r="P32" s="13" t="n">
        <v>46213</v>
      </c>
      <c r="Q32" s="11" t="inlineStr"/>
      <c r="R32" s="11" t="inlineStr">
        <is>
          <t>Retain</t>
        </is>
      </c>
      <c r="S32" s="11" t="inlineStr"/>
      <c r="T32" s="12" t="inlineStr">
        <is>
          <t>None</t>
        </is>
      </c>
      <c r="U32" s="12" t="inlineStr"/>
      <c r="V32" s="11" t="inlineStr"/>
      <c r="W32" s="13" t="n"/>
      <c r="X32" s="11" t="inlineStr">
        <is>
          <t>Completed</t>
        </is>
      </c>
      <c r="Y32" s="13" t="n">
        <v>46213</v>
      </c>
      <c r="Z32" s="11" t="inlineStr"/>
      <c r="AA32" s="11" t="inlineStr"/>
      <c r="AB32" s="11" t="inlineStr"/>
      <c r="AC32" s="12" t="inlineStr"/>
      <c r="AD32">
        <f>IF(S32="",0,IF(COUNTIF(S$2:S32,S32&amp;"")=1,1,0))</f>
        <v/>
      </c>
    </row>
    <row r="33">
      <c r="A33" s="11" t="inlineStr">
        <is>
          <t>ENT-032</t>
        </is>
      </c>
      <c r="B33" s="11" t="inlineStr">
        <is>
          <t>mcastell</t>
        </is>
      </c>
      <c r="C33" s="11" t="inlineStr">
        <is>
          <t>Employee</t>
        </is>
      </c>
      <c r="D33" s="11" t="inlineStr">
        <is>
          <t>Clinical Analytics</t>
        </is>
      </c>
      <c r="E33" s="11" t="inlineStr">
        <is>
          <t>VP Clinical Analytics</t>
        </is>
      </c>
      <c r="F33" s="11" t="inlineStr">
        <is>
          <t>Elena Marsh</t>
        </is>
      </c>
      <c r="G33" s="11" t="inlineStr">
        <is>
          <t>Active</t>
        </is>
      </c>
      <c r="H33" s="11" t="inlineStr">
        <is>
          <t>Okta</t>
        </is>
      </c>
      <c r="I33" s="11" t="inlineStr">
        <is>
          <t>SSO account (standard user)</t>
        </is>
      </c>
      <c r="J33" s="11" t="inlineStr">
        <is>
          <t>N</t>
        </is>
      </c>
      <c r="K33" s="11" t="inlineStr">
        <is>
          <t>N</t>
        </is>
      </c>
      <c r="L33" s="13" t="n">
        <v>43773</v>
      </c>
      <c r="M33" s="13" t="n">
        <v>46197</v>
      </c>
      <c r="N33" s="12" t="inlineStr">
        <is>
          <t>Workforce SSO</t>
        </is>
      </c>
      <c r="O33" s="11" t="inlineStr">
        <is>
          <t>Elena Marsh</t>
        </is>
      </c>
      <c r="P33" s="13" t="n">
        <v>46213</v>
      </c>
      <c r="Q33" s="11" t="inlineStr"/>
      <c r="R33" s="11" t="inlineStr">
        <is>
          <t>Retain</t>
        </is>
      </c>
      <c r="S33" s="11" t="inlineStr"/>
      <c r="T33" s="12" t="inlineStr">
        <is>
          <t>None</t>
        </is>
      </c>
      <c r="U33" s="12" t="inlineStr"/>
      <c r="V33" s="11" t="inlineStr"/>
      <c r="W33" s="13" t="n"/>
      <c r="X33" s="11" t="inlineStr">
        <is>
          <t>Completed</t>
        </is>
      </c>
      <c r="Y33" s="13" t="n">
        <v>46213</v>
      </c>
      <c r="Z33" s="11" t="inlineStr"/>
      <c r="AA33" s="11" t="inlineStr"/>
      <c r="AB33" s="11" t="inlineStr"/>
      <c r="AC33" s="12" t="inlineStr"/>
      <c r="AD33">
        <f>IF(S33="",0,IF(COUNTIF(S$2:S33,S33&amp;"")=1,1,0))</f>
        <v/>
      </c>
    </row>
    <row r="34">
      <c r="A34" s="11" t="inlineStr">
        <is>
          <t>ENT-033</t>
        </is>
      </c>
      <c r="B34" s="11" t="inlineStr">
        <is>
          <t>gholloway</t>
        </is>
      </c>
      <c r="C34" s="11" t="inlineStr">
        <is>
          <t>Employee</t>
        </is>
      </c>
      <c r="D34" s="11" t="inlineStr">
        <is>
          <t>Clinical Analytics</t>
        </is>
      </c>
      <c r="E34" s="11" t="inlineStr">
        <is>
          <t>Clinical Analytics Manager</t>
        </is>
      </c>
      <c r="F34" s="11" t="inlineStr">
        <is>
          <t>Miriam Castell</t>
        </is>
      </c>
      <c r="G34" s="11" t="inlineStr">
        <is>
          <t>Active</t>
        </is>
      </c>
      <c r="H34" s="11" t="inlineStr">
        <is>
          <t>Okta</t>
        </is>
      </c>
      <c r="I34" s="11" t="inlineStr">
        <is>
          <t>SSO account (standard user)</t>
        </is>
      </c>
      <c r="J34" s="11" t="inlineStr">
        <is>
          <t>N</t>
        </is>
      </c>
      <c r="K34" s="11" t="inlineStr">
        <is>
          <t>N</t>
        </is>
      </c>
      <c r="L34" s="13" t="n">
        <v>44452</v>
      </c>
      <c r="M34" s="13" t="n">
        <v>46203</v>
      </c>
      <c r="N34" s="12" t="inlineStr">
        <is>
          <t>Workforce SSO</t>
        </is>
      </c>
      <c r="O34" s="11" t="inlineStr">
        <is>
          <t>Miriam Castell</t>
        </is>
      </c>
      <c r="P34" s="13" t="n">
        <v>46213</v>
      </c>
      <c r="Q34" s="11" t="inlineStr"/>
      <c r="R34" s="11" t="inlineStr">
        <is>
          <t>Retain</t>
        </is>
      </c>
      <c r="S34" s="11" t="inlineStr"/>
      <c r="T34" s="12" t="inlineStr">
        <is>
          <t>None</t>
        </is>
      </c>
      <c r="U34" s="12" t="inlineStr"/>
      <c r="V34" s="11" t="inlineStr"/>
      <c r="W34" s="13" t="n"/>
      <c r="X34" s="11" t="inlineStr">
        <is>
          <t>Completed</t>
        </is>
      </c>
      <c r="Y34" s="13" t="n">
        <v>46213</v>
      </c>
      <c r="Z34" s="11" t="inlineStr"/>
      <c r="AA34" s="11" t="inlineStr"/>
      <c r="AB34" s="11" t="inlineStr"/>
      <c r="AC34" s="12" t="inlineStr"/>
      <c r="AD34">
        <f>IF(S34="",0,IF(COUNTIF(S$2:S34,S34&amp;"")=1,1,0))</f>
        <v/>
      </c>
    </row>
    <row r="35">
      <c r="A35" s="11" t="inlineStr">
        <is>
          <t>ENT-034</t>
        </is>
      </c>
      <c r="B35" s="11" t="inlineStr">
        <is>
          <t>rdiaz</t>
        </is>
      </c>
      <c r="C35" s="11" t="inlineStr">
        <is>
          <t>Employee</t>
        </is>
      </c>
      <c r="D35" s="11" t="inlineStr">
        <is>
          <t>Clinical Analytics</t>
        </is>
      </c>
      <c r="E35" s="11" t="inlineStr">
        <is>
          <t>Care Quality Analyst</t>
        </is>
      </c>
      <c r="F35" s="11" t="inlineStr">
        <is>
          <t>Greg Holloway</t>
        </is>
      </c>
      <c r="G35" s="11" t="inlineStr">
        <is>
          <t>Active</t>
        </is>
      </c>
      <c r="H35" s="11" t="inlineStr">
        <is>
          <t>Okta</t>
        </is>
      </c>
      <c r="I35" s="11" t="inlineStr">
        <is>
          <t>SSO account (standard user)</t>
        </is>
      </c>
      <c r="J35" s="11" t="inlineStr">
        <is>
          <t>N</t>
        </is>
      </c>
      <c r="K35" s="11" t="inlineStr">
        <is>
          <t>N</t>
        </is>
      </c>
      <c r="L35" s="13" t="n">
        <v>44963</v>
      </c>
      <c r="M35" s="13" t="n">
        <v>46203</v>
      </c>
      <c r="N35" s="12" t="inlineStr">
        <is>
          <t>Workforce SSO</t>
        </is>
      </c>
      <c r="O35" s="11" t="inlineStr">
        <is>
          <t>Greg Holloway</t>
        </is>
      </c>
      <c r="P35" s="13" t="n">
        <v>46213</v>
      </c>
      <c r="Q35" s="11" t="inlineStr"/>
      <c r="R35" s="11" t="inlineStr">
        <is>
          <t>Retain</t>
        </is>
      </c>
      <c r="S35" s="11" t="inlineStr"/>
      <c r="T35" s="12" t="inlineStr">
        <is>
          <t>None</t>
        </is>
      </c>
      <c r="U35" s="12" t="inlineStr"/>
      <c r="V35" s="11" t="inlineStr"/>
      <c r="W35" s="13" t="n"/>
      <c r="X35" s="11" t="inlineStr">
        <is>
          <t>Completed</t>
        </is>
      </c>
      <c r="Y35" s="13" t="n">
        <v>46213</v>
      </c>
      <c r="Z35" s="11" t="inlineStr"/>
      <c r="AA35" s="11" t="inlineStr"/>
      <c r="AB35" s="11" t="inlineStr"/>
      <c r="AC35" s="12" t="inlineStr"/>
      <c r="AD35">
        <f>IF(S35="",0,IF(COUNTIF(S$2:S35,S35&amp;"")=1,1,0))</f>
        <v/>
      </c>
    </row>
    <row r="36">
      <c r="A36" s="11" t="inlineStr">
        <is>
          <t>ENT-035</t>
        </is>
      </c>
      <c r="B36" s="11" t="inlineStr">
        <is>
          <t>ext-assessor</t>
        </is>
      </c>
      <c r="C36" s="11" t="inlineStr">
        <is>
          <t>External</t>
        </is>
      </c>
      <c r="D36" s="11" t="inlineStr">
        <is>
          <t>Security</t>
        </is>
      </c>
      <c r="E36" s="11" t="inlineStr">
        <is>
          <t>Independent Assessor</t>
        </is>
      </c>
      <c r="F36" s="11" t="inlineStr">
        <is>
          <t>Alicia Moreno</t>
        </is>
      </c>
      <c r="G36" s="11" t="inlineStr">
        <is>
          <t>Active</t>
        </is>
      </c>
      <c r="H36" s="11" t="inlineStr">
        <is>
          <t>Okta</t>
        </is>
      </c>
      <c r="I36" s="11" t="inlineStr">
        <is>
          <t>SSO account (standard user)</t>
        </is>
      </c>
      <c r="J36" s="11" t="inlineStr">
        <is>
          <t>N</t>
        </is>
      </c>
      <c r="K36" s="11" t="inlineStr">
        <is>
          <t>N</t>
        </is>
      </c>
      <c r="L36" s="13" t="n">
        <v>46188</v>
      </c>
      <c r="M36" s="13" t="n">
        <v>46203</v>
      </c>
      <c r="N36" s="12" t="inlineStr">
        <is>
          <t>Assessment engagement GOV-CHR-001 (ends 2026-07-31)</t>
        </is>
      </c>
      <c r="O36" s="11" t="inlineStr">
        <is>
          <t>Alicia Moreno</t>
        </is>
      </c>
      <c r="P36" s="13" t="n">
        <v>46209</v>
      </c>
      <c r="Q36" s="11" t="inlineStr"/>
      <c r="R36" s="11" t="inlineStr">
        <is>
          <t>Retain (time-bound)</t>
        </is>
      </c>
      <c r="S36" s="11" t="inlineStr"/>
      <c r="T36" s="12" t="inlineStr">
        <is>
          <t>None</t>
        </is>
      </c>
      <c r="U36" s="12" t="inlineStr"/>
      <c r="V36" s="11" t="inlineStr"/>
      <c r="W36" s="13" t="n"/>
      <c r="X36" s="11" t="inlineStr">
        <is>
          <t>Completed</t>
        </is>
      </c>
      <c r="Y36" s="13" t="n">
        <v>46234</v>
      </c>
      <c r="Z36" s="11" t="inlineStr"/>
      <c r="AA36" s="11" t="inlineStr"/>
      <c r="AB36" s="11" t="inlineStr"/>
      <c r="AC36" s="12" t="inlineStr">
        <is>
          <t>Assessor account; removal on 2026-07-31 verified</t>
        </is>
      </c>
      <c r="AD36">
        <f>IF(S36="",0,IF(COUNTIF(S$2:S36,S36&amp;"")=1,1,0))</f>
        <v/>
      </c>
    </row>
    <row r="37">
      <c r="A37" s="11" t="inlineStr">
        <is>
          <t>ENT-036</t>
        </is>
      </c>
      <c r="B37" s="11" t="inlineStr">
        <is>
          <t>svc-vulnscan</t>
        </is>
      </c>
      <c r="C37" s="11" t="inlineStr">
        <is>
          <t>Service</t>
        </is>
      </c>
      <c r="D37" s="11" t="inlineStr">
        <is>
          <t>Security (owner)</t>
        </is>
      </c>
      <c r="E37" s="11" t="inlineStr">
        <is>
          <t>Authenticated vulnerability scanning (legacy: configured as a person-type user)</t>
        </is>
      </c>
      <c r="F37" s="11" t="inlineStr">
        <is>
          <t>Owen Castillo (owner)</t>
        </is>
      </c>
      <c r="G37" s="11" t="inlineStr">
        <is>
          <t>n/a (non-human)</t>
        </is>
      </c>
      <c r="H37" s="11" t="inlineStr">
        <is>
          <t>Okta</t>
        </is>
      </c>
      <c r="I37" s="11" t="inlineStr">
        <is>
          <t>SSO account (standard user)</t>
        </is>
      </c>
      <c r="J37" s="11" t="inlineStr">
        <is>
          <t>N</t>
        </is>
      </c>
      <c r="K37" s="11" t="inlineStr">
        <is>
          <t>N</t>
        </is>
      </c>
      <c r="L37" s="13" t="n">
        <v>45068</v>
      </c>
      <c r="M37" s="13" t="n">
        <v>46203</v>
      </c>
      <c r="N37" s="12" t="inlineStr">
        <is>
          <t>Authenticated vulnerability scanning</t>
        </is>
      </c>
      <c r="O37" s="11" t="inlineStr">
        <is>
          <t>Alicia Moreno</t>
        </is>
      </c>
      <c r="P37" s="13" t="n">
        <v>46210</v>
      </c>
      <c r="Q37" s="11" t="inlineStr">
        <is>
          <t>F-MFA; F-SVC-ROTATION</t>
        </is>
      </c>
      <c r="R37" s="11" t="inlineStr">
        <is>
          <t>Modify</t>
        </is>
      </c>
      <c r="S37" s="11" t="inlineStr">
        <is>
          <t>AR-EX-11</t>
        </is>
      </c>
      <c r="T37" s="12" t="inlineStr">
        <is>
          <t>Service identity configured as a person-type user in MFA-Exempt-Legacy group; interactive sign-in possible; password not rotated since 2023</t>
        </is>
      </c>
      <c r="U37" s="12" t="inlineStr">
        <is>
          <t>Convert to an OAuth service integration; delete the user and the exemption group</t>
        </is>
      </c>
      <c r="V37" s="11" t="inlineStr">
        <is>
          <t>Owen Castillo</t>
        </is>
      </c>
      <c r="W37" s="13" t="n">
        <v>46270</v>
      </c>
      <c r="X37" s="11" t="inlineStr">
        <is>
          <t>Completed</t>
        </is>
      </c>
      <c r="Y37" s="13" t="n">
        <v>46262</v>
      </c>
      <c r="Z37" s="11" t="inlineStr">
        <is>
          <t>EVID-063</t>
        </is>
      </c>
      <c r="AA37" s="11" t="inlineStr">
        <is>
          <t>FIND-002</t>
        </is>
      </c>
      <c r="AB37" s="11" t="inlineStr">
        <is>
          <t>IA-2(2); IA-5</t>
        </is>
      </c>
      <c r="AC37" s="12" t="inlineStr"/>
      <c r="AD37">
        <f>IF(S37="",0,IF(COUNTIF(S$2:S37,S37&amp;"")=1,1,0))</f>
        <v/>
      </c>
    </row>
    <row r="38">
      <c r="A38" s="11" t="inlineStr">
        <is>
          <t>ENT-037</t>
        </is>
      </c>
      <c r="B38" s="11" t="inlineStr">
        <is>
          <t>nrahman-adm</t>
        </is>
      </c>
      <c r="C38" s="11" t="inlineStr">
        <is>
          <t>Admin (separate)</t>
        </is>
      </c>
      <c r="D38" s="11" t="inlineStr">
        <is>
          <t>Security</t>
        </is>
      </c>
      <c r="E38" s="11" t="inlineStr">
        <is>
          <t>IAM Engineer</t>
        </is>
      </c>
      <c r="F38" s="11" t="inlineStr">
        <is>
          <t>Alicia Moreno</t>
        </is>
      </c>
      <c r="G38" s="11" t="inlineStr">
        <is>
          <t>Active</t>
        </is>
      </c>
      <c r="H38" s="11" t="inlineStr">
        <is>
          <t>Okta</t>
        </is>
      </c>
      <c r="I38" s="11" t="inlineStr">
        <is>
          <t>Super Administrator</t>
        </is>
      </c>
      <c r="J38" s="11" t="inlineStr">
        <is>
          <t>Y</t>
        </is>
      </c>
      <c r="K38" s="11" t="inlineStr">
        <is>
          <t>N</t>
        </is>
      </c>
      <c r="L38" s="13" t="n">
        <v>44958</v>
      </c>
      <c r="M38" s="13" t="n">
        <v>46199</v>
      </c>
      <c r="N38" s="12" t="inlineStr">
        <is>
          <t>Primary Okta administrator (IAM Engineer) using separate admin account</t>
        </is>
      </c>
      <c r="O38" s="11" t="inlineStr">
        <is>
          <t>Alicia Moreno</t>
        </is>
      </c>
      <c r="P38" s="13" t="n">
        <v>46213</v>
      </c>
      <c r="Q38" s="11" t="inlineStr"/>
      <c r="R38" s="11" t="inlineStr">
        <is>
          <t>Retain</t>
        </is>
      </c>
      <c r="S38" s="11" t="inlineStr"/>
      <c r="T38" s="12" t="inlineStr">
        <is>
          <t>None</t>
        </is>
      </c>
      <c r="U38" s="12" t="inlineStr"/>
      <c r="V38" s="11" t="inlineStr"/>
      <c r="W38" s="13" t="n"/>
      <c r="X38" s="11" t="inlineStr">
        <is>
          <t>Completed</t>
        </is>
      </c>
      <c r="Y38" s="13" t="n">
        <v>46213</v>
      </c>
      <c r="Z38" s="11" t="inlineStr"/>
      <c r="AA38" s="11" t="inlineStr"/>
      <c r="AB38" s="11" t="inlineStr"/>
      <c r="AC38" s="12" t="inlineStr"/>
      <c r="AD38">
        <f>IF(S38="",0,IF(COUNTIF(S$2:S38,S38&amp;"")=1,1,0))</f>
        <v/>
      </c>
    </row>
    <row r="39">
      <c r="A39" s="11" t="inlineStr">
        <is>
          <t>ENT-038</t>
        </is>
      </c>
      <c r="B39" s="11" t="inlineStr">
        <is>
          <t>okta-breakglass</t>
        </is>
      </c>
      <c r="C39" s="11" t="inlineStr">
        <is>
          <t>Break-glass</t>
        </is>
      </c>
      <c r="D39" s="11" t="inlineStr">
        <is>
          <t>Security (owner)</t>
        </is>
      </c>
      <c r="E39" s="11" t="inlineStr">
        <is>
          <t>Emergency Okta administration</t>
        </is>
      </c>
      <c r="F39" s="11" t="inlineStr">
        <is>
          <t>Alicia Moreno (owner)</t>
        </is>
      </c>
      <c r="G39" s="11" t="inlineStr">
        <is>
          <t>n/a (non-human)</t>
        </is>
      </c>
      <c r="H39" s="11" t="inlineStr">
        <is>
          <t>Okta</t>
        </is>
      </c>
      <c r="I39" s="11" t="inlineStr">
        <is>
          <t>Super Administrator</t>
        </is>
      </c>
      <c r="J39" s="11" t="inlineStr">
        <is>
          <t>Y</t>
        </is>
      </c>
      <c r="K39" s="11" t="inlineStr">
        <is>
          <t>N</t>
        </is>
      </c>
      <c r="L39" s="13" t="n">
        <v>44958</v>
      </c>
      <c r="M39" s="13" t="n">
        <v>46127</v>
      </c>
      <c r="N39" s="12" t="inlineStr">
        <is>
          <t>Emergency access; FIDO2 key in safe; dual control; tested quarterly</t>
        </is>
      </c>
      <c r="O39" s="11" t="inlineStr">
        <is>
          <t>Alicia Moreno</t>
        </is>
      </c>
      <c r="P39" s="13" t="n">
        <v>46213</v>
      </c>
      <c r="Q39" s="11" t="inlineStr"/>
      <c r="R39" s="11" t="inlineStr">
        <is>
          <t>Retain</t>
        </is>
      </c>
      <c r="S39" s="11" t="inlineStr"/>
      <c r="T39" s="12" t="inlineStr">
        <is>
          <t>None</t>
        </is>
      </c>
      <c r="U39" s="12" t="inlineStr"/>
      <c r="V39" s="11" t="inlineStr"/>
      <c r="W39" s="13" t="n"/>
      <c r="X39" s="11" t="inlineStr">
        <is>
          <t>Completed</t>
        </is>
      </c>
      <c r="Y39" s="13" t="n">
        <v>46213</v>
      </c>
      <c r="Z39" s="11" t="inlineStr"/>
      <c r="AA39" s="11" t="inlineStr"/>
      <c r="AB39" s="11" t="inlineStr"/>
      <c r="AC39" s="12" t="inlineStr"/>
      <c r="AD39">
        <f>IF(S39="",0,IF(COUNTIF(S$2:S39,S39&amp;"")=1,1,0))</f>
        <v/>
      </c>
    </row>
    <row r="40">
      <c r="A40" s="11" t="inlineStr">
        <is>
          <t>ENT-039</t>
        </is>
      </c>
      <c r="B40" s="11" t="inlineStr">
        <is>
          <t>kbrandt</t>
        </is>
      </c>
      <c r="C40" s="11" t="inlineStr">
        <is>
          <t>Employee</t>
        </is>
      </c>
      <c r="D40" s="11" t="inlineStr">
        <is>
          <t>IT</t>
        </is>
      </c>
      <c r="E40" s="11" t="inlineStr">
        <is>
          <t>IT Manager</t>
        </is>
      </c>
      <c r="F40" s="11" t="inlineStr">
        <is>
          <t>Samir Haddad</t>
        </is>
      </c>
      <c r="G40" s="11" t="inlineStr">
        <is>
          <t>Active</t>
        </is>
      </c>
      <c r="H40" s="11" t="inlineStr">
        <is>
          <t>Okta</t>
        </is>
      </c>
      <c r="I40" s="11" t="inlineStr">
        <is>
          <t>Super Administrator</t>
        </is>
      </c>
      <c r="J40" s="11" t="inlineStr">
        <is>
          <t>Y</t>
        </is>
      </c>
      <c r="K40" s="11" t="inlineStr">
        <is>
          <t>N</t>
        </is>
      </c>
      <c r="L40" s="13" t="n">
        <v>43871</v>
      </c>
      <c r="M40" s="13" t="n">
        <v>46195</v>
      </c>
      <c r="N40" s="12" t="inlineStr">
        <is>
          <t>Granted during 2020 Okta rollout</t>
        </is>
      </c>
      <c r="O40" s="11" t="inlineStr">
        <is>
          <t>Alicia Moreno</t>
        </is>
      </c>
      <c r="P40" s="13" t="n">
        <v>46210</v>
      </c>
      <c r="Q40" s="11" t="inlineStr">
        <is>
          <t>F-BASELINE; F-DAILYADMIN</t>
        </is>
      </c>
      <c r="R40" s="11" t="inlineStr">
        <is>
          <t>Modify</t>
        </is>
      </c>
      <c r="S40" s="11" t="inlineStr">
        <is>
          <t>AR-EX-09</t>
        </is>
      </c>
      <c r="T40" s="12" t="inlineStr">
        <is>
          <t>Okta Super Administrator is not part of the IT Manager role and is held on a daily-use account</t>
        </is>
      </c>
      <c r="U40" s="12" t="inlineStr">
        <is>
          <t>Downgrade to Organization Administrator</t>
        </is>
      </c>
      <c r="V40" s="11" t="inlineStr">
        <is>
          <t>Alicia Moreno</t>
        </is>
      </c>
      <c r="W40" s="13" t="n">
        <v>46227</v>
      </c>
      <c r="X40" s="11" t="inlineStr">
        <is>
          <t>Completed</t>
        </is>
      </c>
      <c r="Y40" s="13" t="n">
        <v>46223</v>
      </c>
      <c r="Z40" s="11" t="inlineStr">
        <is>
          <t>EVID-077</t>
        </is>
      </c>
      <c r="AA40" s="11" t="inlineStr">
        <is>
          <t>FIND-003</t>
        </is>
      </c>
      <c r="AB40" s="11" t="inlineStr">
        <is>
          <t>AC-6(5); AC-6(2)</t>
        </is>
      </c>
      <c r="AC40" s="12" t="inlineStr"/>
      <c r="AD40">
        <f>IF(S40="",0,IF(COUNTIF(S$2:S40,S40&amp;"")=1,1,0))</f>
        <v/>
      </c>
    </row>
    <row r="41">
      <c r="A41" s="11" t="inlineStr">
        <is>
          <t>ENT-040</t>
        </is>
      </c>
      <c r="B41" s="11" t="inlineStr">
        <is>
          <t>tjohnson</t>
        </is>
      </c>
      <c r="C41" s="11" t="inlineStr">
        <is>
          <t>Employee</t>
        </is>
      </c>
      <c r="D41" s="11" t="inlineStr">
        <is>
          <t>IT</t>
        </is>
      </c>
      <c r="E41" s="11" t="inlineStr">
        <is>
          <t>IT Support Specialist</t>
        </is>
      </c>
      <c r="F41" s="11" t="inlineStr">
        <is>
          <t>Kevin Brandt</t>
        </is>
      </c>
      <c r="G41" s="11" t="inlineStr">
        <is>
          <t>Active</t>
        </is>
      </c>
      <c r="H41" s="11" t="inlineStr">
        <is>
          <t>Okta</t>
        </is>
      </c>
      <c r="I41" s="11" t="inlineStr">
        <is>
          <t>Help Desk Administrator</t>
        </is>
      </c>
      <c r="J41" s="11" t="inlineStr">
        <is>
          <t>Y</t>
        </is>
      </c>
      <c r="K41" s="11" t="inlineStr">
        <is>
          <t>N</t>
        </is>
      </c>
      <c r="L41" s="13" t="n">
        <v>45334</v>
      </c>
      <c r="M41" s="13" t="n">
        <v>46203</v>
      </c>
      <c r="N41" s="12" t="inlineStr">
        <is>
          <t>Password/MFA resets under help-desk identity-verification SOP</t>
        </is>
      </c>
      <c r="O41" s="11" t="inlineStr">
        <is>
          <t>Alicia Moreno</t>
        </is>
      </c>
      <c r="P41" s="13" t="n">
        <v>46213</v>
      </c>
      <c r="Q41" s="11" t="inlineStr"/>
      <c r="R41" s="11" t="inlineStr">
        <is>
          <t>Retain</t>
        </is>
      </c>
      <c r="S41" s="11" t="inlineStr"/>
      <c r="T41" s="12" t="inlineStr">
        <is>
          <t>None</t>
        </is>
      </c>
      <c r="U41" s="12" t="inlineStr"/>
      <c r="V41" s="11" t="inlineStr"/>
      <c r="W41" s="13" t="n"/>
      <c r="X41" s="11" t="inlineStr">
        <is>
          <t>Completed</t>
        </is>
      </c>
      <c r="Y41" s="13" t="n">
        <v>46213</v>
      </c>
      <c r="Z41" s="11" t="inlineStr"/>
      <c r="AA41" s="11" t="inlineStr"/>
      <c r="AB41" s="11" t="inlineStr"/>
      <c r="AC41" s="12" t="inlineStr"/>
      <c r="AD41">
        <f>IF(S41="",0,IF(COUNTIF(S$2:S41,S41&amp;"")=1,1,0))</f>
        <v/>
      </c>
    </row>
    <row r="42">
      <c r="A42" s="11" t="inlineStr">
        <is>
          <t>ENT-041</t>
        </is>
      </c>
      <c r="B42" s="11" t="inlineStr">
        <is>
          <t>praman</t>
        </is>
      </c>
      <c r="C42" s="11" t="inlineStr">
        <is>
          <t>Employee</t>
        </is>
      </c>
      <c r="D42" s="11" t="inlineStr">
        <is>
          <t>Security</t>
        </is>
      </c>
      <c r="E42" s="11" t="inlineStr">
        <is>
          <t>Security Compliance Manager</t>
        </is>
      </c>
      <c r="F42" s="11" t="inlineStr">
        <is>
          <t>Alicia Moreno</t>
        </is>
      </c>
      <c r="G42" s="11" t="inlineStr">
        <is>
          <t>Active</t>
        </is>
      </c>
      <c r="H42" s="11" t="inlineStr">
        <is>
          <t>Okta</t>
        </is>
      </c>
      <c r="I42" s="11" t="inlineStr">
        <is>
          <t>Read-Only Administrator</t>
        </is>
      </c>
      <c r="J42" s="11" t="inlineStr">
        <is>
          <t>Y</t>
        </is>
      </c>
      <c r="K42" s="11" t="inlineStr">
        <is>
          <t>N</t>
        </is>
      </c>
      <c r="L42" s="13" t="n">
        <v>44991</v>
      </c>
      <c r="M42" s="13" t="n">
        <v>46202</v>
      </c>
      <c r="N42" s="12" t="inlineStr">
        <is>
          <t>GRC evidence collection</t>
        </is>
      </c>
      <c r="O42" s="11" t="inlineStr">
        <is>
          <t>Alicia Moreno</t>
        </is>
      </c>
      <c r="P42" s="13" t="n">
        <v>46213</v>
      </c>
      <c r="Q42" s="11" t="inlineStr"/>
      <c r="R42" s="11" t="inlineStr">
        <is>
          <t>Retain</t>
        </is>
      </c>
      <c r="S42" s="11" t="inlineStr"/>
      <c r="T42" s="12" t="inlineStr">
        <is>
          <t>None</t>
        </is>
      </c>
      <c r="U42" s="12" t="inlineStr"/>
      <c r="V42" s="11" t="inlineStr"/>
      <c r="W42" s="13" t="n"/>
      <c r="X42" s="11" t="inlineStr">
        <is>
          <t>Completed</t>
        </is>
      </c>
      <c r="Y42" s="13" t="n">
        <v>46213</v>
      </c>
      <c r="Z42" s="11" t="inlineStr"/>
      <c r="AA42" s="11" t="inlineStr"/>
      <c r="AB42" s="11" t="inlineStr"/>
      <c r="AC42" s="12" t="inlineStr"/>
      <c r="AD42">
        <f>IF(S42="",0,IF(COUNTIF(S$2:S42,S42&amp;"")=1,1,0))</f>
        <v/>
      </c>
    </row>
    <row r="43">
      <c r="A43" s="11" t="inlineStr">
        <is>
          <t>ENT-042</t>
        </is>
      </c>
      <c r="B43" s="11" t="inlineStr">
        <is>
          <t>ext-assessor</t>
        </is>
      </c>
      <c r="C43" s="11" t="inlineStr">
        <is>
          <t>External</t>
        </is>
      </c>
      <c r="D43" s="11" t="inlineStr">
        <is>
          <t>Security</t>
        </is>
      </c>
      <c r="E43" s="11" t="inlineStr">
        <is>
          <t>Independent Assessor</t>
        </is>
      </c>
      <c r="F43" s="11" t="inlineStr">
        <is>
          <t>Alicia Moreno</t>
        </is>
      </c>
      <c r="G43" s="11" t="inlineStr">
        <is>
          <t>Active</t>
        </is>
      </c>
      <c r="H43" s="11" t="inlineStr">
        <is>
          <t>Okta</t>
        </is>
      </c>
      <c r="I43" s="11" t="inlineStr">
        <is>
          <t>Read-Only Administrator</t>
        </is>
      </c>
      <c r="J43" s="11" t="inlineStr">
        <is>
          <t>Y</t>
        </is>
      </c>
      <c r="K43" s="11" t="inlineStr">
        <is>
          <t>N</t>
        </is>
      </c>
      <c r="L43" s="13" t="n">
        <v>46188</v>
      </c>
      <c r="M43" s="13" t="n">
        <v>46203</v>
      </c>
      <c r="N43" s="12" t="inlineStr">
        <is>
          <t>Assessment engagement (ends 2026-07-31)</t>
        </is>
      </c>
      <c r="O43" s="11" t="inlineStr">
        <is>
          <t>Alicia Moreno</t>
        </is>
      </c>
      <c r="P43" s="13" t="n">
        <v>46209</v>
      </c>
      <c r="Q43" s="11" t="inlineStr"/>
      <c r="R43" s="11" t="inlineStr">
        <is>
          <t>Retain (time-bound)</t>
        </is>
      </c>
      <c r="S43" s="11" t="inlineStr"/>
      <c r="T43" s="12" t="inlineStr">
        <is>
          <t>None</t>
        </is>
      </c>
      <c r="U43" s="12" t="inlineStr"/>
      <c r="V43" s="11" t="inlineStr"/>
      <c r="W43" s="13" t="n"/>
      <c r="X43" s="11" t="inlineStr">
        <is>
          <t>Completed</t>
        </is>
      </c>
      <c r="Y43" s="13" t="n">
        <v>46234</v>
      </c>
      <c r="Z43" s="11" t="inlineStr"/>
      <c r="AA43" s="11" t="inlineStr"/>
      <c r="AB43" s="11" t="inlineStr"/>
      <c r="AC43" s="12" t="inlineStr">
        <is>
          <t>Assessor account; removal on 2026-07-31 verified</t>
        </is>
      </c>
      <c r="AD43">
        <f>IF(S43="",0,IF(COUNTIF(S$2:S43,S43&amp;"")=1,1,0))</f>
        <v/>
      </c>
    </row>
    <row r="44">
      <c r="A44" s="11" t="inlineStr">
        <is>
          <t>ENT-043</t>
        </is>
      </c>
      <c r="B44" s="11" t="inlineStr">
        <is>
          <t>jkim-adm</t>
        </is>
      </c>
      <c r="C44" s="11" t="inlineStr">
        <is>
          <t>Admin (separate)</t>
        </is>
      </c>
      <c r="D44" s="11" t="inlineStr">
        <is>
          <t>Platform Engineering</t>
        </is>
      </c>
      <c r="E44" s="11" t="inlineStr">
        <is>
          <t>Senior SRE</t>
        </is>
      </c>
      <c r="F44" s="11" t="inlineStr">
        <is>
          <t>Tomasz Wierzbicki</t>
        </is>
      </c>
      <c r="G44" s="11" t="inlineStr">
        <is>
          <t>Active</t>
        </is>
      </c>
      <c r="H44" s="11" t="inlineStr">
        <is>
          <t>AWS wcp-prod</t>
        </is>
      </c>
      <c r="I44" s="11" t="inlineStr">
        <is>
          <t>AdministratorAccess</t>
        </is>
      </c>
      <c r="J44" s="11" t="inlineStr">
        <is>
          <t>Y</t>
        </is>
      </c>
      <c r="K44" s="11" t="inlineStr">
        <is>
          <t>Y</t>
        </is>
      </c>
      <c r="L44" s="13" t="n">
        <v>45880</v>
      </c>
      <c r="M44" s="13" t="n">
        <v>46200</v>
      </c>
      <c r="N44" s="12" t="inlineStr">
        <is>
          <t>SRE on-call administration (separate admin account)</t>
        </is>
      </c>
      <c r="O44" s="11" t="inlineStr">
        <is>
          <t>Tomasz Wierzbicki</t>
        </is>
      </c>
      <c r="P44" s="13" t="n">
        <v>46213</v>
      </c>
      <c r="Q44" s="11" t="inlineStr"/>
      <c r="R44" s="11" t="inlineStr">
        <is>
          <t>Retain</t>
        </is>
      </c>
      <c r="S44" s="11" t="inlineStr"/>
      <c r="T44" s="12" t="inlineStr">
        <is>
          <t>None</t>
        </is>
      </c>
      <c r="U44" s="12" t="inlineStr"/>
      <c r="V44" s="11" t="inlineStr"/>
      <c r="W44" s="13" t="n"/>
      <c r="X44" s="11" t="inlineStr">
        <is>
          <t>Completed</t>
        </is>
      </c>
      <c r="Y44" s="13" t="n">
        <v>46213</v>
      </c>
      <c r="Z44" s="11" t="inlineStr"/>
      <c r="AA44" s="11" t="inlineStr"/>
      <c r="AB44" s="11" t="inlineStr"/>
      <c r="AC44" s="12" t="inlineStr">
        <is>
          <t>Model pattern: separate admin account with phishing-resistant MFA</t>
        </is>
      </c>
      <c r="AD44">
        <f>IF(S44="",0,IF(COUNTIF(S$2:S44,S44&amp;"")=1,1,0))</f>
        <v/>
      </c>
    </row>
    <row r="45">
      <c r="A45" s="11" t="inlineStr">
        <is>
          <t>ENT-044</t>
        </is>
      </c>
      <c r="B45" s="11" t="inlineStr">
        <is>
          <t>lbaptiste</t>
        </is>
      </c>
      <c r="C45" s="11" t="inlineStr">
        <is>
          <t>Employee</t>
        </is>
      </c>
      <c r="D45" s="11" t="inlineStr">
        <is>
          <t>Platform Engineering</t>
        </is>
      </c>
      <c r="E45" s="11" t="inlineStr">
        <is>
          <t>SRE</t>
        </is>
      </c>
      <c r="F45" s="11" t="inlineStr">
        <is>
          <t>Tomasz Wierzbicki</t>
        </is>
      </c>
      <c r="G45" s="11" t="inlineStr">
        <is>
          <t>Active</t>
        </is>
      </c>
      <c r="H45" s="11" t="inlineStr">
        <is>
          <t>AWS wcp-prod</t>
        </is>
      </c>
      <c r="I45" s="11" t="inlineStr">
        <is>
          <t>AdministratorAccess</t>
        </is>
      </c>
      <c r="J45" s="11" t="inlineStr">
        <is>
          <t>Y</t>
        </is>
      </c>
      <c r="K45" s="11" t="inlineStr">
        <is>
          <t>Y</t>
        </is>
      </c>
      <c r="L45" s="13" t="n">
        <v>45019</v>
      </c>
      <c r="M45" s="13" t="n">
        <v>46203</v>
      </c>
      <c r="N45" s="12" t="inlineStr">
        <is>
          <t>SRE on-call administration</t>
        </is>
      </c>
      <c r="O45" s="11" t="inlineStr">
        <is>
          <t>Tomasz Wierzbicki</t>
        </is>
      </c>
      <c r="P45" s="13" t="n">
        <v>46213</v>
      </c>
      <c r="Q45" s="11" t="inlineStr">
        <is>
          <t>F-DAILYADMIN</t>
        </is>
      </c>
      <c r="R45" s="11" t="inlineStr">
        <is>
          <t>Modify</t>
        </is>
      </c>
      <c r="S45" s="11" t="inlineStr">
        <is>
          <t>AR-EX-10</t>
        </is>
      </c>
      <c r="T45" s="12" t="inlineStr">
        <is>
          <t>Production AdministratorAccess used from a daily-use account (ACP-002 §5.4 requires a separate admin account)</t>
        </is>
      </c>
      <c r="U45" s="12" t="inlineStr">
        <is>
          <t>Issue a -adm account with phishing-resistant MFA; remove admin from the daily account</t>
        </is>
      </c>
      <c r="V45" s="11" t="inlineStr">
        <is>
          <t>Nadia Rahman</t>
        </is>
      </c>
      <c r="W45" s="13" t="n">
        <v>46295</v>
      </c>
      <c r="X45" s="11" t="inlineStr">
        <is>
          <t>Completed</t>
        </is>
      </c>
      <c r="Y45" s="13" t="n">
        <v>46267</v>
      </c>
      <c r="Z45" s="11" t="inlineStr">
        <is>
          <t>EVID-075</t>
        </is>
      </c>
      <c r="AA45" s="11" t="inlineStr">
        <is>
          <t>FIND-003</t>
        </is>
      </c>
      <c r="AB45" s="11" t="inlineStr">
        <is>
          <t>AC-6(2)</t>
        </is>
      </c>
      <c r="AC45" s="12" t="inlineStr"/>
      <c r="AD45">
        <f>IF(S45="",0,IF(COUNTIF(S$2:S45,S45&amp;"")=1,1,0))</f>
        <v/>
      </c>
    </row>
    <row r="46">
      <c r="A46" s="11" t="inlineStr">
        <is>
          <t>ENT-045</t>
        </is>
      </c>
      <c r="B46" s="11" t="inlineStr">
        <is>
          <t>twierzbicki</t>
        </is>
      </c>
      <c r="C46" s="11" t="inlineStr">
        <is>
          <t>Employee</t>
        </is>
      </c>
      <c r="D46" s="11" t="inlineStr">
        <is>
          <t>Platform Engineering</t>
        </is>
      </c>
      <c r="E46" s="11" t="inlineStr">
        <is>
          <t>Director Platform Engineering</t>
        </is>
      </c>
      <c r="F46" s="11" t="inlineStr">
        <is>
          <t>Samir Haddad</t>
        </is>
      </c>
      <c r="G46" s="11" t="inlineStr">
        <is>
          <t>Active</t>
        </is>
      </c>
      <c r="H46" s="11" t="inlineStr">
        <is>
          <t>AWS wcp-prod</t>
        </is>
      </c>
      <c r="I46" s="11" t="inlineStr">
        <is>
          <t>AdministratorAccess</t>
        </is>
      </c>
      <c r="J46" s="11" t="inlineStr">
        <is>
          <t>Y</t>
        </is>
      </c>
      <c r="K46" s="11" t="inlineStr">
        <is>
          <t>Y</t>
        </is>
      </c>
      <c r="L46" s="13" t="n">
        <v>43845</v>
      </c>
      <c r="M46" s="13" t="n">
        <v>46198</v>
      </c>
      <c r="N46" s="12" t="inlineStr">
        <is>
          <t>Platform escalation</t>
        </is>
      </c>
      <c r="O46" s="11" t="inlineStr">
        <is>
          <t>Samir Haddad</t>
        </is>
      </c>
      <c r="P46" s="13" t="n">
        <v>46213</v>
      </c>
      <c r="Q46" s="11" t="inlineStr">
        <is>
          <t>F-DAILYADMIN</t>
        </is>
      </c>
      <c r="R46" s="11" t="inlineStr">
        <is>
          <t>Modify</t>
        </is>
      </c>
      <c r="S46" s="11" t="inlineStr">
        <is>
          <t>AR-EX-10</t>
        </is>
      </c>
      <c r="T46" s="12" t="inlineStr">
        <is>
          <t>Production AdministratorAccess used from a daily-use account (ACP-002 §5.4 requires a separate admin account)</t>
        </is>
      </c>
      <c r="U46" s="12" t="inlineStr">
        <is>
          <t>Issue a -adm account with phishing-resistant MFA; remove admin from the daily account</t>
        </is>
      </c>
      <c r="V46" s="11" t="inlineStr">
        <is>
          <t>Nadia Rahman</t>
        </is>
      </c>
      <c r="W46" s="13" t="n">
        <v>46295</v>
      </c>
      <c r="X46" s="11" t="inlineStr">
        <is>
          <t>In Progress</t>
        </is>
      </c>
      <c r="Y46" s="13" t="n"/>
      <c r="Z46" s="11" t="inlineStr"/>
      <c r="AA46" s="11" t="inlineStr">
        <is>
          <t>FIND-003</t>
        </is>
      </c>
      <c r="AB46" s="11" t="inlineStr">
        <is>
          <t>AC-6(2)</t>
        </is>
      </c>
      <c r="AC46" s="12" t="inlineStr">
        <is>
          <t>-adm account issued 2026-09-15; daily-account removal scheduled after on-call rotation ends</t>
        </is>
      </c>
      <c r="AD46">
        <f>IF(S46="",0,IF(COUNTIF(S$2:S46,S46&amp;"")=1,1,0))</f>
        <v/>
      </c>
    </row>
    <row r="47">
      <c r="A47" s="11" t="inlineStr">
        <is>
          <t>ENT-046</t>
        </is>
      </c>
      <c r="B47" s="11" t="inlineStr">
        <is>
          <t>dokonkwo</t>
        </is>
      </c>
      <c r="C47" s="11" t="inlineStr">
        <is>
          <t>Employee</t>
        </is>
      </c>
      <c r="D47" s="11" t="inlineStr">
        <is>
          <t>Engineering</t>
        </is>
      </c>
      <c r="E47" s="11" t="inlineStr">
        <is>
          <t>Senior Software Engineer</t>
        </is>
      </c>
      <c r="F47" s="11" t="inlineStr">
        <is>
          <t>Sofia Ricci</t>
        </is>
      </c>
      <c r="G47" s="11" t="inlineStr">
        <is>
          <t>Active</t>
        </is>
      </c>
      <c r="H47" s="11" t="inlineStr">
        <is>
          <t>AWS wcp-prod</t>
        </is>
      </c>
      <c r="I47" s="11" t="inlineStr">
        <is>
          <t>AdministratorAccess</t>
        </is>
      </c>
      <c r="J47" s="11" t="inlineStr">
        <is>
          <t>Y</t>
        </is>
      </c>
      <c r="K47" s="11" t="inlineStr">
        <is>
          <t>Y</t>
        </is>
      </c>
      <c r="L47" s="13" t="n">
        <v>45600</v>
      </c>
      <c r="M47" s="13" t="n">
        <v>46192</v>
      </c>
      <c r="N47" s="12" t="inlineStr">
        <is>
          <t>Temporary grant for EKS migration (CHG-2024-0981)</t>
        </is>
      </c>
      <c r="O47" s="11" t="inlineStr">
        <is>
          <t>Tomasz Wierzbicki</t>
        </is>
      </c>
      <c r="P47" s="13" t="n">
        <v>46213</v>
      </c>
      <c r="Q47" s="11" t="inlineStr">
        <is>
          <t>F-BASELINE; F-DAILYADMIN</t>
        </is>
      </c>
      <c r="R47" s="11" t="inlineStr">
        <is>
          <t>Modify</t>
        </is>
      </c>
      <c r="S47" s="11" t="inlineStr">
        <is>
          <t>AR-EX-05</t>
        </is>
      </c>
      <c r="T47" s="12" t="inlineStr">
        <is>
          <t>AdministratorAccess in production not required for Software Engineer role; 2024 migration grant never removed</t>
        </is>
      </c>
      <c r="U47" s="12" t="inlineStr">
        <is>
          <t>Replace with Developer-ReadOnly-Prod; use approval-gated elevation for incidents</t>
        </is>
      </c>
      <c r="V47" s="11" t="inlineStr">
        <is>
          <t>Tomasz Wierzbicki</t>
        </is>
      </c>
      <c r="W47" s="13" t="n">
        <v>46255</v>
      </c>
      <c r="X47" s="11" t="inlineStr">
        <is>
          <t>Completed</t>
        </is>
      </c>
      <c r="Y47" s="13" t="n">
        <v>46254</v>
      </c>
      <c r="Z47" s="11" t="inlineStr">
        <is>
          <t>EVID-075</t>
        </is>
      </c>
      <c r="AA47" s="11" t="inlineStr">
        <is>
          <t>FIND-003</t>
        </is>
      </c>
      <c r="AB47" s="11" t="inlineStr">
        <is>
          <t>AC-6(5); AC-6</t>
        </is>
      </c>
      <c r="AC47" s="12" t="inlineStr">
        <is>
          <t>Owner agreed; no ongoing need</t>
        </is>
      </c>
      <c r="AD47">
        <f>IF(S47="",0,IF(COUNTIF(S$2:S47,S47&amp;"")=1,1,0))</f>
        <v/>
      </c>
    </row>
    <row r="48">
      <c r="A48" s="11" t="inlineStr">
        <is>
          <t>ENT-047</t>
        </is>
      </c>
      <c r="B48" s="11" t="inlineStr">
        <is>
          <t>bnguyen</t>
        </is>
      </c>
      <c r="C48" s="11" t="inlineStr">
        <is>
          <t>Employee</t>
        </is>
      </c>
      <c r="D48" s="11" t="inlineStr">
        <is>
          <t>Data Engineering</t>
        </is>
      </c>
      <c r="E48" s="11" t="inlineStr">
        <is>
          <t>Data Engineer</t>
        </is>
      </c>
      <c r="F48" s="11" t="inlineStr">
        <is>
          <t>Liam Porter</t>
        </is>
      </c>
      <c r="G48" s="11" t="inlineStr">
        <is>
          <t>Active</t>
        </is>
      </c>
      <c r="H48" s="11" t="inlineStr">
        <is>
          <t>AWS wcp-prod</t>
        </is>
      </c>
      <c r="I48" s="11" t="inlineStr">
        <is>
          <t>AdministratorAccess</t>
        </is>
      </c>
      <c r="J48" s="11" t="inlineStr">
        <is>
          <t>Y</t>
        </is>
      </c>
      <c r="K48" s="11" t="inlineStr">
        <is>
          <t>Y</t>
        </is>
      </c>
      <c r="L48" s="13" t="n">
        <v>45824</v>
      </c>
      <c r="M48" s="13" t="n">
        <v>46184</v>
      </c>
      <c r="N48" s="12" t="inlineStr">
        <is>
          <t>Data pipeline troubleshooting</t>
        </is>
      </c>
      <c r="O48" s="11" t="inlineStr">
        <is>
          <t>Tomasz Wierzbicki</t>
        </is>
      </c>
      <c r="P48" s="13" t="n">
        <v>46213</v>
      </c>
      <c r="Q48" s="11" t="inlineStr">
        <is>
          <t>F-BASELINE; F-DAILYADMIN</t>
        </is>
      </c>
      <c r="R48" s="11" t="inlineStr">
        <is>
          <t>Modify</t>
        </is>
      </c>
      <c r="S48" s="11" t="inlineStr">
        <is>
          <t>AR-EX-06</t>
        </is>
      </c>
      <c r="T48" s="12" t="inlineStr">
        <is>
          <t>AdministratorAccess in production not required for Data Engineer role</t>
        </is>
      </c>
      <c r="U48" s="12" t="inlineStr">
        <is>
          <t>Replace with Developer-ReadOnly-Prod; use approval-gated elevation for incidents</t>
        </is>
      </c>
      <c r="V48" s="11" t="inlineStr">
        <is>
          <t>Tomasz Wierzbicki</t>
        </is>
      </c>
      <c r="W48" s="13" t="n">
        <v>46255</v>
      </c>
      <c r="X48" s="11" t="inlineStr">
        <is>
          <t>Completed</t>
        </is>
      </c>
      <c r="Y48" s="13" t="n">
        <v>46254</v>
      </c>
      <c r="Z48" s="11" t="inlineStr">
        <is>
          <t>EVID-075</t>
        </is>
      </c>
      <c r="AA48" s="11" t="inlineStr">
        <is>
          <t>FIND-003</t>
        </is>
      </c>
      <c r="AB48" s="11" t="inlineStr">
        <is>
          <t>AC-6(5); AC-6</t>
        </is>
      </c>
      <c r="AC48" s="12" t="inlineStr">
        <is>
          <t>Owner initially disputed (pipeline troubleshooting); resolved with time-boxed elevation</t>
        </is>
      </c>
      <c r="AD48">
        <f>IF(S48="",0,IF(COUNTIF(S$2:S48,S48&amp;"")=1,1,0))</f>
        <v/>
      </c>
    </row>
    <row r="49">
      <c r="A49" s="11" t="inlineStr">
        <is>
          <t>ENT-048</t>
        </is>
      </c>
      <c r="B49" s="11" t="inlineStr">
        <is>
          <t>ocastillo</t>
        </is>
      </c>
      <c r="C49" s="11" t="inlineStr">
        <is>
          <t>Employee</t>
        </is>
      </c>
      <c r="D49" s="11" t="inlineStr">
        <is>
          <t>Security</t>
        </is>
      </c>
      <c r="E49" s="11" t="inlineStr">
        <is>
          <t>Security Engineer</t>
        </is>
      </c>
      <c r="F49" s="11" t="inlineStr">
        <is>
          <t>Alicia Moreno</t>
        </is>
      </c>
      <c r="G49" s="11" t="inlineStr">
        <is>
          <t>Active</t>
        </is>
      </c>
      <c r="H49" s="11" t="inlineStr">
        <is>
          <t>AWS wcp-prod</t>
        </is>
      </c>
      <c r="I49" s="11" t="inlineStr">
        <is>
          <t>SecurityAudit</t>
        </is>
      </c>
      <c r="J49" s="11" t="inlineStr">
        <is>
          <t>N</t>
        </is>
      </c>
      <c r="K49" s="11" t="inlineStr">
        <is>
          <t>N</t>
        </is>
      </c>
      <c r="L49" s="13" t="n">
        <v>44816</v>
      </c>
      <c r="M49" s="13" t="n">
        <v>46203</v>
      </c>
      <c r="N49" s="12" t="inlineStr">
        <is>
          <t>Security monitoring</t>
        </is>
      </c>
      <c r="O49" s="11" t="inlineStr">
        <is>
          <t>Tomasz Wierzbicki</t>
        </is>
      </c>
      <c r="P49" s="13" t="n">
        <v>46213</v>
      </c>
      <c r="Q49" s="11" t="inlineStr"/>
      <c r="R49" s="11" t="inlineStr">
        <is>
          <t>Retain</t>
        </is>
      </c>
      <c r="S49" s="11" t="inlineStr"/>
      <c r="T49" s="12" t="inlineStr">
        <is>
          <t>None</t>
        </is>
      </c>
      <c r="U49" s="12" t="inlineStr"/>
      <c r="V49" s="11" t="inlineStr"/>
      <c r="W49" s="13" t="n"/>
      <c r="X49" s="11" t="inlineStr">
        <is>
          <t>Completed</t>
        </is>
      </c>
      <c r="Y49" s="13" t="n">
        <v>46213</v>
      </c>
      <c r="Z49" s="11" t="inlineStr"/>
      <c r="AA49" s="11" t="inlineStr"/>
      <c r="AB49" s="11" t="inlineStr"/>
      <c r="AC49" s="12" t="inlineStr"/>
      <c r="AD49">
        <f>IF(S49="",0,IF(COUNTIF(S$2:S49,S49&amp;"")=1,1,0))</f>
        <v/>
      </c>
    </row>
    <row r="50">
      <c r="A50" s="11" t="inlineStr">
        <is>
          <t>ENT-049</t>
        </is>
      </c>
      <c r="B50" s="11" t="inlineStr">
        <is>
          <t>ocastillo</t>
        </is>
      </c>
      <c r="C50" s="11" t="inlineStr">
        <is>
          <t>Employee</t>
        </is>
      </c>
      <c r="D50" s="11" t="inlineStr">
        <is>
          <t>Security</t>
        </is>
      </c>
      <c r="E50" s="11" t="inlineStr">
        <is>
          <t>Security Engineer</t>
        </is>
      </c>
      <c r="F50" s="11" t="inlineStr">
        <is>
          <t>Alicia Moreno</t>
        </is>
      </c>
      <c r="G50" s="11" t="inlineStr">
        <is>
          <t>Active</t>
        </is>
      </c>
      <c r="H50" s="11" t="inlineStr">
        <is>
          <t>AWS wcp-prod</t>
        </is>
      </c>
      <c r="I50" s="11" t="inlineStr">
        <is>
          <t>IR-Responder</t>
        </is>
      </c>
      <c r="J50" s="11" t="inlineStr">
        <is>
          <t>Y</t>
        </is>
      </c>
      <c r="K50" s="11" t="inlineStr">
        <is>
          <t>Y</t>
        </is>
      </c>
      <c r="L50" s="13" t="n">
        <v>45901</v>
      </c>
      <c r="M50" s="13" t="n">
        <v>46085</v>
      </c>
      <c r="N50" s="12" t="inlineStr">
        <is>
          <t>Incident response; elevation requires CISO approval; session recorded</t>
        </is>
      </c>
      <c r="O50" s="11" t="inlineStr">
        <is>
          <t>Tomasz Wierzbicki</t>
        </is>
      </c>
      <c r="P50" s="13" t="n">
        <v>46210</v>
      </c>
      <c r="Q50" s="11" t="inlineStr">
        <is>
          <t>F-INACTIVE</t>
        </is>
      </c>
      <c r="R50" s="11" t="inlineStr">
        <is>
          <t>Retain</t>
        </is>
      </c>
      <c r="S50" s="11" t="inlineStr"/>
      <c r="T50" s="12" t="inlineStr">
        <is>
          <t>None (flag dispositioned: see comment)</t>
        </is>
      </c>
      <c r="U50" s="12" t="inlineStr"/>
      <c r="V50" s="11" t="inlineStr"/>
      <c r="W50" s="13" t="n"/>
      <c r="X50" s="11" t="inlineStr">
        <is>
          <t>Completed</t>
        </is>
      </c>
      <c r="Y50" s="13" t="n">
        <v>46210</v>
      </c>
      <c r="Z50" s="11" t="inlineStr"/>
      <c r="AA50" s="11" t="inlineStr"/>
      <c r="AB50" s="11" t="inlineStr"/>
      <c r="AC50" s="12" t="inlineStr">
        <is>
          <t>Engine flag (inactive &gt;90 days) dispositioned as expected: approval-gated incident role, last elevation tied to INC-2026-0041</t>
        </is>
      </c>
      <c r="AD50">
        <f>IF(S50="",0,IF(COUNTIF(S$2:S50,S50&amp;"")=1,1,0))</f>
        <v/>
      </c>
    </row>
    <row r="51">
      <c r="A51" s="11" t="inlineStr">
        <is>
          <t>ENT-050</t>
        </is>
      </c>
      <c r="B51" s="11" t="inlineStr">
        <is>
          <t>amoreno</t>
        </is>
      </c>
      <c r="C51" s="11" t="inlineStr">
        <is>
          <t>Employee</t>
        </is>
      </c>
      <c r="D51" s="11" t="inlineStr">
        <is>
          <t>Security</t>
        </is>
      </c>
      <c r="E51" s="11" t="inlineStr">
        <is>
          <t>Chief Information Security Officer</t>
        </is>
      </c>
      <c r="F51" s="11" t="inlineStr">
        <is>
          <t>Samir Haddad</t>
        </is>
      </c>
      <c r="G51" s="11" t="inlineStr">
        <is>
          <t>Active</t>
        </is>
      </c>
      <c r="H51" s="11" t="inlineStr">
        <is>
          <t>AWS wcp-prod</t>
        </is>
      </c>
      <c r="I51" s="11" t="inlineStr">
        <is>
          <t>SecurityAudit</t>
        </is>
      </c>
      <c r="J51" s="11" t="inlineStr">
        <is>
          <t>N</t>
        </is>
      </c>
      <c r="K51" s="11" t="inlineStr">
        <is>
          <t>N</t>
        </is>
      </c>
      <c r="L51" s="13" t="n">
        <v>44263</v>
      </c>
      <c r="M51" s="13" t="n">
        <v>46190</v>
      </c>
      <c r="N51" s="12" t="inlineStr">
        <is>
          <t>CISO oversight</t>
        </is>
      </c>
      <c r="O51" s="11" t="inlineStr">
        <is>
          <t>Tomasz Wierzbicki</t>
        </is>
      </c>
      <c r="P51" s="13" t="n">
        <v>46213</v>
      </c>
      <c r="Q51" s="11" t="inlineStr"/>
      <c r="R51" s="11" t="inlineStr">
        <is>
          <t>Retain</t>
        </is>
      </c>
      <c r="S51" s="11" t="inlineStr"/>
      <c r="T51" s="12" t="inlineStr">
        <is>
          <t>None</t>
        </is>
      </c>
      <c r="U51" s="12" t="inlineStr"/>
      <c r="V51" s="11" t="inlineStr"/>
      <c r="W51" s="13" t="n"/>
      <c r="X51" s="11" t="inlineStr">
        <is>
          <t>Completed</t>
        </is>
      </c>
      <c r="Y51" s="13" t="n">
        <v>46213</v>
      </c>
      <c r="Z51" s="11" t="inlineStr"/>
      <c r="AA51" s="11" t="inlineStr"/>
      <c r="AB51" s="11" t="inlineStr"/>
      <c r="AC51" s="12" t="inlineStr"/>
      <c r="AD51">
        <f>IF(S51="",0,IF(COUNTIF(S$2:S51,S51&amp;"")=1,1,0))</f>
        <v/>
      </c>
    </row>
    <row r="52">
      <c r="A52" s="11" t="inlineStr">
        <is>
          <t>ENT-051</t>
        </is>
      </c>
      <c r="B52" s="11" t="inlineStr">
        <is>
          <t>praman</t>
        </is>
      </c>
      <c r="C52" s="11" t="inlineStr">
        <is>
          <t>Employee</t>
        </is>
      </c>
      <c r="D52" s="11" t="inlineStr">
        <is>
          <t>Security</t>
        </is>
      </c>
      <c r="E52" s="11" t="inlineStr">
        <is>
          <t>Security Compliance Manager</t>
        </is>
      </c>
      <c r="F52" s="11" t="inlineStr">
        <is>
          <t>Alicia Moreno</t>
        </is>
      </c>
      <c r="G52" s="11" t="inlineStr">
        <is>
          <t>Active</t>
        </is>
      </c>
      <c r="H52" s="11" t="inlineStr">
        <is>
          <t>AWS wcp-prod</t>
        </is>
      </c>
      <c r="I52" s="11" t="inlineStr">
        <is>
          <t>SecurityAudit</t>
        </is>
      </c>
      <c r="J52" s="11" t="inlineStr">
        <is>
          <t>N</t>
        </is>
      </c>
      <c r="K52" s="11" t="inlineStr">
        <is>
          <t>N</t>
        </is>
      </c>
      <c r="L52" s="13" t="n">
        <v>44942</v>
      </c>
      <c r="M52" s="13" t="n">
        <v>46202</v>
      </c>
      <c r="N52" s="12" t="inlineStr">
        <is>
          <t>GRC evidence collection</t>
        </is>
      </c>
      <c r="O52" s="11" t="inlineStr">
        <is>
          <t>Tomasz Wierzbicki</t>
        </is>
      </c>
      <c r="P52" s="13" t="n">
        <v>46213</v>
      </c>
      <c r="Q52" s="11" t="inlineStr"/>
      <c r="R52" s="11" t="inlineStr">
        <is>
          <t>Retain</t>
        </is>
      </c>
      <c r="S52" s="11" t="inlineStr"/>
      <c r="T52" s="12" t="inlineStr">
        <is>
          <t>None</t>
        </is>
      </c>
      <c r="U52" s="12" t="inlineStr"/>
      <c r="V52" s="11" t="inlineStr"/>
      <c r="W52" s="13" t="n"/>
      <c r="X52" s="11" t="inlineStr">
        <is>
          <t>Completed</t>
        </is>
      </c>
      <c r="Y52" s="13" t="n">
        <v>46213</v>
      </c>
      <c r="Z52" s="11" t="inlineStr"/>
      <c r="AA52" s="11" t="inlineStr"/>
      <c r="AB52" s="11" t="inlineStr"/>
      <c r="AC52" s="12" t="inlineStr"/>
      <c r="AD52">
        <f>IF(S52="",0,IF(COUNTIF(S$2:S52,S52&amp;"")=1,1,0))</f>
        <v/>
      </c>
    </row>
    <row r="53">
      <c r="A53" s="11" t="inlineStr">
        <is>
          <t>ENT-052</t>
        </is>
      </c>
      <c r="B53" s="11" t="inlineStr">
        <is>
          <t>shaddad</t>
        </is>
      </c>
      <c r="C53" s="11" t="inlineStr">
        <is>
          <t>Employee</t>
        </is>
      </c>
      <c r="D53" s="11" t="inlineStr">
        <is>
          <t>Executive</t>
        </is>
      </c>
      <c r="E53" s="11" t="inlineStr">
        <is>
          <t>Chief Technology Officer</t>
        </is>
      </c>
      <c r="F53" s="11" t="inlineStr">
        <is>
          <t>Elena Marsh</t>
        </is>
      </c>
      <c r="G53" s="11" t="inlineStr">
        <is>
          <t>Active</t>
        </is>
      </c>
      <c r="H53" s="11" t="inlineStr">
        <is>
          <t>AWS wcp-prod</t>
        </is>
      </c>
      <c r="I53" s="11" t="inlineStr">
        <is>
          <t>ViewOnlyAccess</t>
        </is>
      </c>
      <c r="J53" s="11" t="inlineStr">
        <is>
          <t>N</t>
        </is>
      </c>
      <c r="K53" s="11" t="inlineStr">
        <is>
          <t>N</t>
        </is>
      </c>
      <c r="L53" s="13" t="n">
        <v>43586</v>
      </c>
      <c r="M53" s="13" t="n">
        <v>46175</v>
      </c>
      <c r="N53" s="12" t="inlineStr">
        <is>
          <t>Executive oversight of service health</t>
        </is>
      </c>
      <c r="O53" s="11" t="inlineStr">
        <is>
          <t>Tomasz Wierzbicki</t>
        </is>
      </c>
      <c r="P53" s="13" t="n">
        <v>46213</v>
      </c>
      <c r="Q53" s="11" t="inlineStr"/>
      <c r="R53" s="11" t="inlineStr">
        <is>
          <t>Retain</t>
        </is>
      </c>
      <c r="S53" s="11" t="inlineStr"/>
      <c r="T53" s="12" t="inlineStr">
        <is>
          <t>None</t>
        </is>
      </c>
      <c r="U53" s="12" t="inlineStr"/>
      <c r="V53" s="11" t="inlineStr"/>
      <c r="W53" s="13" t="n"/>
      <c r="X53" s="11" t="inlineStr">
        <is>
          <t>Completed</t>
        </is>
      </c>
      <c r="Y53" s="13" t="n">
        <v>46213</v>
      </c>
      <c r="Z53" s="11" t="inlineStr"/>
      <c r="AA53" s="11" t="inlineStr"/>
      <c r="AB53" s="11" t="inlineStr"/>
      <c r="AC53" s="12" t="inlineStr"/>
      <c r="AD53">
        <f>IF(S53="",0,IF(COUNTIF(S$2:S53,S53&amp;"")=1,1,0))</f>
        <v/>
      </c>
    </row>
    <row r="54">
      <c r="A54" s="11" t="inlineStr">
        <is>
          <t>ENT-053</t>
        </is>
      </c>
      <c r="B54" s="11" t="inlineStr">
        <is>
          <t>sricci</t>
        </is>
      </c>
      <c r="C54" s="11" t="inlineStr">
        <is>
          <t>Employee</t>
        </is>
      </c>
      <c r="D54" s="11" t="inlineStr">
        <is>
          <t>Engineering</t>
        </is>
      </c>
      <c r="E54" s="11" t="inlineStr">
        <is>
          <t>Engineering Manager</t>
        </is>
      </c>
      <c r="F54" s="11" t="inlineStr">
        <is>
          <t>Grace Lindqvist</t>
        </is>
      </c>
      <c r="G54" s="11" t="inlineStr">
        <is>
          <t>Active</t>
        </is>
      </c>
      <c r="H54" s="11" t="inlineStr">
        <is>
          <t>AWS wcp-prod</t>
        </is>
      </c>
      <c r="I54" s="11" t="inlineStr">
        <is>
          <t>ViewOnlyAccess</t>
        </is>
      </c>
      <c r="J54" s="11" t="inlineStr">
        <is>
          <t>N</t>
        </is>
      </c>
      <c r="K54" s="11" t="inlineStr">
        <is>
          <t>N</t>
        </is>
      </c>
      <c r="L54" s="13" t="n">
        <v>44228</v>
      </c>
      <c r="M54" s="13" t="n">
        <v>46197</v>
      </c>
      <c r="N54" s="12" t="inlineStr">
        <is>
          <t>Service health for application teams</t>
        </is>
      </c>
      <c r="O54" s="11" t="inlineStr">
        <is>
          <t>Tomasz Wierzbicki</t>
        </is>
      </c>
      <c r="P54" s="13" t="n">
        <v>46213</v>
      </c>
      <c r="Q54" s="11" t="inlineStr"/>
      <c r="R54" s="11" t="inlineStr">
        <is>
          <t>Retain</t>
        </is>
      </c>
      <c r="S54" s="11" t="inlineStr"/>
      <c r="T54" s="12" t="inlineStr">
        <is>
          <t>None</t>
        </is>
      </c>
      <c r="U54" s="12" t="inlineStr"/>
      <c r="V54" s="11" t="inlineStr"/>
      <c r="W54" s="13" t="n"/>
      <c r="X54" s="11" t="inlineStr">
        <is>
          <t>Completed</t>
        </is>
      </c>
      <c r="Y54" s="13" t="n">
        <v>46213</v>
      </c>
      <c r="Z54" s="11" t="inlineStr"/>
      <c r="AA54" s="11" t="inlineStr"/>
      <c r="AB54" s="11" t="inlineStr"/>
      <c r="AC54" s="12" t="inlineStr"/>
      <c r="AD54">
        <f>IF(S54="",0,IF(COUNTIF(S$2:S54,S54&amp;"")=1,1,0))</f>
        <v/>
      </c>
    </row>
    <row r="55">
      <c r="A55" s="11" t="inlineStr">
        <is>
          <t>ENT-054</t>
        </is>
      </c>
      <c r="B55" s="11" t="inlineStr">
        <is>
          <t>lporter</t>
        </is>
      </c>
      <c r="C55" s="11" t="inlineStr">
        <is>
          <t>Employee</t>
        </is>
      </c>
      <c r="D55" s="11" t="inlineStr">
        <is>
          <t>Data Engineering</t>
        </is>
      </c>
      <c r="E55" s="11" t="inlineStr">
        <is>
          <t>Data Engineering Manager</t>
        </is>
      </c>
      <c r="F55" s="11" t="inlineStr">
        <is>
          <t>Samir Haddad</t>
        </is>
      </c>
      <c r="G55" s="11" t="inlineStr">
        <is>
          <t>Active</t>
        </is>
      </c>
      <c r="H55" s="11" t="inlineStr">
        <is>
          <t>AWS wcp-prod</t>
        </is>
      </c>
      <c r="I55" s="11" t="inlineStr">
        <is>
          <t>ViewOnlyAccess</t>
        </is>
      </c>
      <c r="J55" s="11" t="inlineStr">
        <is>
          <t>N</t>
        </is>
      </c>
      <c r="K55" s="11" t="inlineStr">
        <is>
          <t>N</t>
        </is>
      </c>
      <c r="L55" s="13" t="n">
        <v>44326</v>
      </c>
      <c r="M55" s="13" t="n">
        <v>46188</v>
      </c>
      <c r="N55" s="12" t="inlineStr">
        <is>
          <t>Pipeline health</t>
        </is>
      </c>
      <c r="O55" s="11" t="inlineStr">
        <is>
          <t>Tomasz Wierzbicki</t>
        </is>
      </c>
      <c r="P55" s="13" t="n">
        <v>46213</v>
      </c>
      <c r="Q55" s="11" t="inlineStr"/>
      <c r="R55" s="11" t="inlineStr">
        <is>
          <t>Retain</t>
        </is>
      </c>
      <c r="S55" s="11" t="inlineStr"/>
      <c r="T55" s="12" t="inlineStr">
        <is>
          <t>None</t>
        </is>
      </c>
      <c r="U55" s="12" t="inlineStr"/>
      <c r="V55" s="11" t="inlineStr"/>
      <c r="W55" s="13" t="n"/>
      <c r="X55" s="11" t="inlineStr">
        <is>
          <t>Completed</t>
        </is>
      </c>
      <c r="Y55" s="13" t="n">
        <v>46213</v>
      </c>
      <c r="Z55" s="11" t="inlineStr"/>
      <c r="AA55" s="11" t="inlineStr"/>
      <c r="AB55" s="11" t="inlineStr"/>
      <c r="AC55" s="12" t="inlineStr"/>
      <c r="AD55">
        <f>IF(S55="",0,IF(COUNTIF(S$2:S55,S55&amp;"")=1,1,0))</f>
        <v/>
      </c>
    </row>
    <row r="56">
      <c r="A56" s="11" t="inlineStr">
        <is>
          <t>ENT-055</t>
        </is>
      </c>
      <c r="B56" s="11" t="inlineStr">
        <is>
          <t>sparks</t>
        </is>
      </c>
      <c r="C56" s="11" t="inlineStr">
        <is>
          <t>Employee</t>
        </is>
      </c>
      <c r="D56" s="11" t="inlineStr">
        <is>
          <t>Product</t>
        </is>
      </c>
      <c r="E56" s="11" t="inlineStr">
        <is>
          <t>Product Manager</t>
        </is>
      </c>
      <c r="F56" s="11" t="inlineStr">
        <is>
          <t>Grace Lindqvist</t>
        </is>
      </c>
      <c r="G56" s="11" t="inlineStr">
        <is>
          <t>Active</t>
        </is>
      </c>
      <c r="H56" s="11" t="inlineStr">
        <is>
          <t>AWS wcp-prod</t>
        </is>
      </c>
      <c r="I56" s="11" t="inlineStr">
        <is>
          <t>ViewOnlyAccess</t>
        </is>
      </c>
      <c r="J56" s="11" t="inlineStr">
        <is>
          <t>N</t>
        </is>
      </c>
      <c r="K56" s="11" t="inlineStr">
        <is>
          <t>N</t>
        </is>
      </c>
      <c r="L56" s="13" t="n">
        <v>45369</v>
      </c>
      <c r="M56" s="13" t="n">
        <v>45963</v>
      </c>
      <c r="N56" s="12" t="inlineStr">
        <is>
          <t>Feature usage dashboards</t>
        </is>
      </c>
      <c r="O56" s="11" t="inlineStr">
        <is>
          <t>Tomasz Wierzbicki</t>
        </is>
      </c>
      <c r="P56" s="13" t="n">
        <v>46212</v>
      </c>
      <c r="Q56" s="11" t="inlineStr">
        <is>
          <t>F-INACTIVE</t>
        </is>
      </c>
      <c r="R56" s="11" t="inlineStr">
        <is>
          <t>Revoke</t>
        </is>
      </c>
      <c r="S56" s="11" t="inlineStr">
        <is>
          <t>AR-EX-14</t>
        </is>
      </c>
      <c r="T56" s="12" t="inlineStr">
        <is>
          <t>No use in 240 days (inactive &gt; 90-day threshold)</t>
        </is>
      </c>
      <c r="U56" s="12" t="inlineStr">
        <is>
          <t>Revoke; re-request through ticket if needed</t>
        </is>
      </c>
      <c r="V56" s="11" t="inlineStr">
        <is>
          <t>Tomasz Wierzbicki</t>
        </is>
      </c>
      <c r="W56" s="13" t="n">
        <v>46220</v>
      </c>
      <c r="X56" s="11" t="inlineStr">
        <is>
          <t>Completed</t>
        </is>
      </c>
      <c r="Y56" s="13" t="n">
        <v>46216</v>
      </c>
      <c r="Z56" s="11" t="inlineStr">
        <is>
          <t>EVID-061</t>
        </is>
      </c>
      <c r="AA56" s="11" t="inlineStr">
        <is>
          <t>FIND-004</t>
        </is>
      </c>
      <c r="AB56" s="11" t="inlineStr">
        <is>
          <t>AC-2</t>
        </is>
      </c>
      <c r="AC56" s="12" t="inlineStr"/>
      <c r="AD56">
        <f>IF(S56="",0,IF(COUNTIF(S$2:S56,S56&amp;"")=1,1,0))</f>
        <v/>
      </c>
    </row>
    <row r="57">
      <c r="A57" s="11" t="inlineStr">
        <is>
          <t>ENT-056</t>
        </is>
      </c>
      <c r="B57" s="11" t="inlineStr">
        <is>
          <t>ext-assessor</t>
        </is>
      </c>
      <c r="C57" s="11" t="inlineStr">
        <is>
          <t>External</t>
        </is>
      </c>
      <c r="D57" s="11" t="inlineStr">
        <is>
          <t>Security</t>
        </is>
      </c>
      <c r="E57" s="11" t="inlineStr">
        <is>
          <t>Independent Assessor</t>
        </is>
      </c>
      <c r="F57" s="11" t="inlineStr">
        <is>
          <t>Alicia Moreno</t>
        </is>
      </c>
      <c r="G57" s="11" t="inlineStr">
        <is>
          <t>Active</t>
        </is>
      </c>
      <c r="H57" s="11" t="inlineStr">
        <is>
          <t>AWS wcp-prod</t>
        </is>
      </c>
      <c r="I57" s="11" t="inlineStr">
        <is>
          <t>SecurityAudit</t>
        </is>
      </c>
      <c r="J57" s="11" t="inlineStr">
        <is>
          <t>N</t>
        </is>
      </c>
      <c r="K57" s="11" t="inlineStr">
        <is>
          <t>N</t>
        </is>
      </c>
      <c r="L57" s="13" t="n">
        <v>46188</v>
      </c>
      <c r="M57" s="13" t="n">
        <v>46203</v>
      </c>
      <c r="N57" s="12" t="inlineStr">
        <is>
          <t>Assessment engagement (ends 2026-07-31)</t>
        </is>
      </c>
      <c r="O57" s="11" t="inlineStr">
        <is>
          <t>Tomasz Wierzbicki</t>
        </is>
      </c>
      <c r="P57" s="13" t="n">
        <v>46209</v>
      </c>
      <c r="Q57" s="11" t="inlineStr"/>
      <c r="R57" s="11" t="inlineStr">
        <is>
          <t>Retain (time-bound)</t>
        </is>
      </c>
      <c r="S57" s="11" t="inlineStr"/>
      <c r="T57" s="12" t="inlineStr">
        <is>
          <t>None</t>
        </is>
      </c>
      <c r="U57" s="12" t="inlineStr"/>
      <c r="V57" s="11" t="inlineStr"/>
      <c r="W57" s="13" t="n"/>
      <c r="X57" s="11" t="inlineStr">
        <is>
          <t>Completed</t>
        </is>
      </c>
      <c r="Y57" s="13" t="n">
        <v>46234</v>
      </c>
      <c r="Z57" s="11" t="inlineStr"/>
      <c r="AA57" s="11" t="inlineStr"/>
      <c r="AB57" s="11" t="inlineStr"/>
      <c r="AC57" s="12" t="inlineStr">
        <is>
          <t>Assessor account; removal on 2026-07-31 verified</t>
        </is>
      </c>
      <c r="AD57">
        <f>IF(S57="",0,IF(COUNTIF(S$2:S57,S57&amp;"")=1,1,0))</f>
        <v/>
      </c>
    </row>
    <row r="58">
      <c r="A58" s="11" t="inlineStr">
        <is>
          <t>ENT-057</t>
        </is>
      </c>
      <c r="B58" s="11" t="inlineStr">
        <is>
          <t>aws-breakglass</t>
        </is>
      </c>
      <c r="C58" s="11" t="inlineStr">
        <is>
          <t>Break-glass</t>
        </is>
      </c>
      <c r="D58" s="11" t="inlineStr">
        <is>
          <t>Platform Engineering (owner)</t>
        </is>
      </c>
      <c r="E58" s="11" t="inlineStr">
        <is>
          <t>Emergency AWS administration</t>
        </is>
      </c>
      <c r="F58" s="11" t="inlineStr">
        <is>
          <t>Tomasz Wierzbicki (owner)</t>
        </is>
      </c>
      <c r="G58" s="11" t="inlineStr">
        <is>
          <t>n/a (non-human)</t>
        </is>
      </c>
      <c r="H58" s="11" t="inlineStr">
        <is>
          <t>AWS wcp-prod</t>
        </is>
      </c>
      <c r="I58" s="11" t="inlineStr">
        <is>
          <t>AdministratorAccess</t>
        </is>
      </c>
      <c r="J58" s="11" t="inlineStr">
        <is>
          <t>Y</t>
        </is>
      </c>
      <c r="K58" s="11" t="inlineStr">
        <is>
          <t>Y</t>
        </is>
      </c>
      <c r="L58" s="13" t="n">
        <v>44571</v>
      </c>
      <c r="M58" s="13" t="n">
        <v>46154</v>
      </c>
      <c r="N58" s="12" t="inlineStr">
        <is>
          <t>Emergency access; hardware MFA; no access keys; tested quarterly</t>
        </is>
      </c>
      <c r="O58" s="11" t="inlineStr">
        <is>
          <t>Samir Haddad</t>
        </is>
      </c>
      <c r="P58" s="13" t="n">
        <v>46213</v>
      </c>
      <c r="Q58" s="11" t="inlineStr"/>
      <c r="R58" s="11" t="inlineStr">
        <is>
          <t>Retain</t>
        </is>
      </c>
      <c r="S58" s="11" t="inlineStr"/>
      <c r="T58" s="12" t="inlineStr">
        <is>
          <t>None</t>
        </is>
      </c>
      <c r="U58" s="12" t="inlineStr"/>
      <c r="V58" s="11" t="inlineStr"/>
      <c r="W58" s="13" t="n"/>
      <c r="X58" s="11" t="inlineStr">
        <is>
          <t>Completed</t>
        </is>
      </c>
      <c r="Y58" s="13" t="n">
        <v>46213</v>
      </c>
      <c r="Z58" s="11" t="inlineStr"/>
      <c r="AA58" s="11" t="inlineStr"/>
      <c r="AB58" s="11" t="inlineStr"/>
      <c r="AC58" s="12" t="inlineStr">
        <is>
          <t>Last use = Q2 break-glass test (2026-05-12)</t>
        </is>
      </c>
      <c r="AD58">
        <f>IF(S58="",0,IF(COUNTIF(S$2:S58,S58&amp;"")=1,1,0))</f>
        <v/>
      </c>
    </row>
    <row r="59">
      <c r="A59" s="11" t="inlineStr">
        <is>
          <t>ENT-058</t>
        </is>
      </c>
      <c r="B59" s="11" t="inlineStr">
        <is>
          <t>mfeld-admin</t>
        </is>
      </c>
      <c r="C59" s="11" t="inlineStr">
        <is>
          <t>IAM user (local)</t>
        </is>
      </c>
      <c r="D59" s="11" t="inlineStr">
        <is>
          <t>Platform Engineering</t>
        </is>
      </c>
      <c r="E59" s="11" t="inlineStr">
        <is>
          <t>DevOps Engineer</t>
        </is>
      </c>
      <c r="F59" s="11" t="inlineStr">
        <is>
          <t>Tomasz Wierzbicki</t>
        </is>
      </c>
      <c r="G59" s="11" t="inlineStr">
        <is>
          <t>Terminated</t>
        </is>
      </c>
      <c r="H59" s="11" t="inlineStr">
        <is>
          <t>AWS wcp-prod</t>
        </is>
      </c>
      <c r="I59" s="11" t="inlineStr">
        <is>
          <t>AdministratorAccess</t>
        </is>
      </c>
      <c r="J59" s="11" t="inlineStr">
        <is>
          <t>Y</t>
        </is>
      </c>
      <c r="K59" s="11" t="inlineStr">
        <is>
          <t>Y</t>
        </is>
      </c>
      <c r="L59" s="13" t="n">
        <v>44459</v>
      </c>
      <c r="M59" s="13" t="n">
        <v>46101</v>
      </c>
      <c r="N59" s="12" t="inlineStr">
        <is>
          <t>Legacy IAM user created before IAM Identity Center rollout</t>
        </is>
      </c>
      <c r="O59" s="11" t="inlineStr">
        <is>
          <t>Tomasz Wierzbicki</t>
        </is>
      </c>
      <c r="P59" s="13" t="n">
        <v>46209</v>
      </c>
      <c r="Q59" s="11" t="inlineStr">
        <is>
          <t>F-DAILYADMIN; F-INACTIVE; F-TERM</t>
        </is>
      </c>
      <c r="R59" s="11" t="inlineStr">
        <is>
          <t>Revoke</t>
        </is>
      </c>
      <c r="S59" s="11" t="inlineStr">
        <is>
          <t>AR-EX-03</t>
        </is>
      </c>
      <c r="T59" s="12" t="inlineStr">
        <is>
          <t>Local AWS IAM user of employee terminated 2026-03-27 still active (console password + access key); outside Okta de-provisioning</t>
        </is>
      </c>
      <c r="U59" s="12" t="inlineStr">
        <is>
          <t>Delete IAM user and keys; review CloudTrail for activity after 2026-03-27</t>
        </is>
      </c>
      <c r="V59" s="11" t="inlineStr">
        <is>
          <t>Tomasz Wierzbicki</t>
        </is>
      </c>
      <c r="W59" s="13" t="n">
        <v>46210</v>
      </c>
      <c r="X59" s="11" t="inlineStr">
        <is>
          <t>Completed</t>
        </is>
      </c>
      <c r="Y59" s="13" t="n">
        <v>46209</v>
      </c>
      <c r="Z59" s="11" t="inlineStr">
        <is>
          <t>EVID-064</t>
        </is>
      </c>
      <c r="AA59" s="11" t="inlineStr">
        <is>
          <t>FIND-001</t>
        </is>
      </c>
      <c r="AB59" s="11" t="inlineStr">
        <is>
          <t>AC-2(3); AC-2</t>
        </is>
      </c>
      <c r="AC59" s="12" t="inlineStr">
        <is>
          <t>CloudTrail shows no use after 2026-03-20; root cause is local accounts outside SSO</t>
        </is>
      </c>
      <c r="AD59">
        <f>IF(S59="",0,IF(COUNTIF(S$2:S59,S59&amp;"")=1,1,0))</f>
        <v/>
      </c>
    </row>
    <row r="60">
      <c r="A60" s="11" t="inlineStr">
        <is>
          <t>ENT-059</t>
        </is>
      </c>
      <c r="B60" s="11" t="inlineStr">
        <is>
          <t>svc-reporting-etl</t>
        </is>
      </c>
      <c r="C60" s="11" t="inlineStr">
        <is>
          <t>Service</t>
        </is>
      </c>
      <c r="D60" s="11" t="inlineStr"/>
      <c r="E60" s="11" t="inlineStr">
        <is>
          <t>Monthly outcome-report ETL to legacy-reports</t>
        </is>
      </c>
      <c r="F60" s="11" t="inlineStr">
        <is>
          <t>UNDOCUMENTED</t>
        </is>
      </c>
      <c r="G60" s="11" t="inlineStr">
        <is>
          <t>n/a (non-human)</t>
        </is>
      </c>
      <c r="H60" s="11" t="inlineStr">
        <is>
          <t>AWS wcp-prod</t>
        </is>
      </c>
      <c r="I60" s="11" t="inlineStr">
        <is>
          <t>reporting-etl (custom: S3 extracts read; RDS describe)</t>
        </is>
      </c>
      <c r="J60" s="11" t="inlineStr">
        <is>
          <t>N</t>
        </is>
      </c>
      <c r="K60" s="11" t="inlineStr">
        <is>
          <t>Y</t>
        </is>
      </c>
      <c r="L60" s="13" t="n">
        <v>45329</v>
      </c>
      <c r="M60" s="13" t="n">
        <v>46203</v>
      </c>
      <c r="N60" s="12" t="inlineStr">
        <is>
          <t>Monthly outcome-report ETL to legacy-reports</t>
        </is>
      </c>
      <c r="O60" s="11" t="inlineStr">
        <is>
          <t>Tomasz Wierzbicki</t>
        </is>
      </c>
      <c r="P60" s="13" t="n">
        <v>46212</v>
      </c>
      <c r="Q60" s="11" t="inlineStr">
        <is>
          <t>F-SVC-OWNER; F-SVC-ROTATION</t>
        </is>
      </c>
      <c r="R60" s="11" t="inlineStr">
        <is>
          <t>Modify</t>
        </is>
      </c>
      <c r="S60" s="11" t="inlineStr">
        <is>
          <t>AR-EX-19</t>
        </is>
      </c>
      <c r="T60" s="12" t="inlineStr">
        <is>
          <t>IAM user with a static access key over 365 days old; creator terminated; no documented owner</t>
        </is>
      </c>
      <c r="U60" s="12" t="inlineStr">
        <is>
          <t>Assign owner; migrate to an IAM role; delete the IAM user and key</t>
        </is>
      </c>
      <c r="V60" s="11" t="inlineStr">
        <is>
          <t>Tomasz Wierzbicki</t>
        </is>
      </c>
      <c r="W60" s="13" t="n">
        <v>46276</v>
      </c>
      <c r="X60" s="11" t="inlineStr">
        <is>
          <t>Completed</t>
        </is>
      </c>
      <c r="Y60" s="13" t="n">
        <v>46268</v>
      </c>
      <c r="Z60" s="11" t="inlineStr">
        <is>
          <t>EVID-064; EVID-065</t>
        </is>
      </c>
      <c r="AA60" s="11" t="inlineStr">
        <is>
          <t>FIND-005</t>
        </is>
      </c>
      <c r="AB60" s="11" t="inlineStr">
        <is>
          <t>IA-5; AC-2</t>
        </is>
      </c>
      <c r="AC60" s="12" t="inlineStr"/>
      <c r="AD60">
        <f>IF(S60="",0,IF(COUNTIF(S$2:S60,S60&amp;"")=1,1,0))</f>
        <v/>
      </c>
    </row>
    <row r="61">
      <c r="A61" s="11" t="inlineStr">
        <is>
          <t>ENT-060</t>
        </is>
      </c>
      <c r="B61" s="11" t="inlineStr">
        <is>
          <t>svc-ci-deploy</t>
        </is>
      </c>
      <c r="C61" s="11" t="inlineStr">
        <is>
          <t>Service</t>
        </is>
      </c>
      <c r="D61" s="11" t="inlineStr">
        <is>
          <t>Platform Engineering (owner)</t>
        </is>
      </c>
      <c r="E61" s="11" t="inlineStr">
        <is>
          <t>CI/CD deploy role for GitHub Actions</t>
        </is>
      </c>
      <c r="F61" s="11" t="inlineStr">
        <is>
          <t>Tomasz Wierzbicki (owner)</t>
        </is>
      </c>
      <c r="G61" s="11" t="inlineStr">
        <is>
          <t>n/a (non-human)</t>
        </is>
      </c>
      <c r="H61" s="11" t="inlineStr">
        <is>
          <t>AWS wcp-prod</t>
        </is>
      </c>
      <c r="I61" s="11" t="inlineStr">
        <is>
          <t>deploy-eks (custom; GitHub OIDC federation)</t>
        </is>
      </c>
      <c r="J61" s="11" t="inlineStr">
        <is>
          <t>Y</t>
        </is>
      </c>
      <c r="K61" s="11" t="inlineStr">
        <is>
          <t>N</t>
        </is>
      </c>
      <c r="L61" s="13" t="n">
        <v>45413</v>
      </c>
      <c r="M61" s="13" t="n">
        <v>46203</v>
      </c>
      <c r="N61" s="12" t="inlineStr">
        <is>
          <t>CI/CD deployment role (no static credentials)</t>
        </is>
      </c>
      <c r="O61" s="11" t="inlineStr">
        <is>
          <t>Tomasz Wierzbicki</t>
        </is>
      </c>
      <c r="P61" s="13" t="n">
        <v>46213</v>
      </c>
      <c r="Q61" s="11" t="inlineStr"/>
      <c r="R61" s="11" t="inlineStr">
        <is>
          <t>Retain</t>
        </is>
      </c>
      <c r="S61" s="11" t="inlineStr"/>
      <c r="T61" s="12" t="inlineStr">
        <is>
          <t>None</t>
        </is>
      </c>
      <c r="U61" s="12" t="inlineStr"/>
      <c r="V61" s="11" t="inlineStr"/>
      <c r="W61" s="13" t="n"/>
      <c r="X61" s="11" t="inlineStr">
        <is>
          <t>Completed</t>
        </is>
      </c>
      <c r="Y61" s="13" t="n">
        <v>46213</v>
      </c>
      <c r="Z61" s="11" t="inlineStr"/>
      <c r="AA61" s="11" t="inlineStr"/>
      <c r="AB61" s="11" t="inlineStr"/>
      <c r="AC61" s="12" t="inlineStr"/>
      <c r="AD61">
        <f>IF(S61="",0,IF(COUNTIF(S$2:S61,S61&amp;"")=1,1,0))</f>
        <v/>
      </c>
    </row>
    <row r="62">
      <c r="A62" s="11" t="inlineStr">
        <is>
          <t>ENT-061</t>
        </is>
      </c>
      <c r="B62" s="11" t="inlineStr">
        <is>
          <t>shaddad</t>
        </is>
      </c>
      <c r="C62" s="11" t="inlineStr">
        <is>
          <t>Employee</t>
        </is>
      </c>
      <c r="D62" s="11" t="inlineStr">
        <is>
          <t>Executive</t>
        </is>
      </c>
      <c r="E62" s="11" t="inlineStr">
        <is>
          <t>Chief Technology Officer</t>
        </is>
      </c>
      <c r="F62" s="11" t="inlineStr">
        <is>
          <t>Elena Marsh</t>
        </is>
      </c>
      <c r="G62" s="11" t="inlineStr">
        <is>
          <t>Active</t>
        </is>
      </c>
      <c r="H62" s="11" t="inlineStr">
        <is>
          <t>GitHub</t>
        </is>
      </c>
      <c r="I62" s="11" t="inlineStr">
        <is>
          <t>Organization Owner</t>
        </is>
      </c>
      <c r="J62" s="11" t="inlineStr">
        <is>
          <t>Y</t>
        </is>
      </c>
      <c r="K62" s="11" t="inlineStr">
        <is>
          <t>N</t>
        </is>
      </c>
      <c r="L62" s="13" t="n">
        <v>42795</v>
      </c>
      <c r="M62" s="13" t="n">
        <v>46191</v>
      </c>
      <c r="N62" s="12" t="inlineStr">
        <is>
          <t>CTO; org ownership</t>
        </is>
      </c>
      <c r="O62" s="11" t="inlineStr">
        <is>
          <t>Grace Lindqvist</t>
        </is>
      </c>
      <c r="P62" s="13" t="n">
        <v>46213</v>
      </c>
      <c r="Q62" s="11" t="inlineStr"/>
      <c r="R62" s="11" t="inlineStr">
        <is>
          <t>Retain</t>
        </is>
      </c>
      <c r="S62" s="11" t="inlineStr"/>
      <c r="T62" s="12" t="inlineStr">
        <is>
          <t>None</t>
        </is>
      </c>
      <c r="U62" s="12" t="inlineStr"/>
      <c r="V62" s="11" t="inlineStr"/>
      <c r="W62" s="13" t="n"/>
      <c r="X62" s="11" t="inlineStr">
        <is>
          <t>Completed</t>
        </is>
      </c>
      <c r="Y62" s="13" t="n">
        <v>46213</v>
      </c>
      <c r="Z62" s="11" t="inlineStr"/>
      <c r="AA62" s="11" t="inlineStr"/>
      <c r="AB62" s="11" t="inlineStr"/>
      <c r="AC62" s="12" t="inlineStr"/>
      <c r="AD62">
        <f>IF(S62="",0,IF(COUNTIF(S$2:S62,S62&amp;"")=1,1,0))</f>
        <v/>
      </c>
    </row>
    <row r="63">
      <c r="A63" s="11" t="inlineStr">
        <is>
          <t>ENT-062</t>
        </is>
      </c>
      <c r="B63" s="11" t="inlineStr">
        <is>
          <t>twierzbicki</t>
        </is>
      </c>
      <c r="C63" s="11" t="inlineStr">
        <is>
          <t>Employee</t>
        </is>
      </c>
      <c r="D63" s="11" t="inlineStr">
        <is>
          <t>Platform Engineering</t>
        </is>
      </c>
      <c r="E63" s="11" t="inlineStr">
        <is>
          <t>Director Platform Engineering</t>
        </is>
      </c>
      <c r="F63" s="11" t="inlineStr">
        <is>
          <t>Samir Haddad</t>
        </is>
      </c>
      <c r="G63" s="11" t="inlineStr">
        <is>
          <t>Active</t>
        </is>
      </c>
      <c r="H63" s="11" t="inlineStr">
        <is>
          <t>GitHub</t>
        </is>
      </c>
      <c r="I63" s="11" t="inlineStr">
        <is>
          <t>Organization Owner</t>
        </is>
      </c>
      <c r="J63" s="11" t="inlineStr">
        <is>
          <t>Y</t>
        </is>
      </c>
      <c r="K63" s="11" t="inlineStr">
        <is>
          <t>N</t>
        </is>
      </c>
      <c r="L63" s="13" t="n">
        <v>43563</v>
      </c>
      <c r="M63" s="13" t="n">
        <v>46203</v>
      </c>
      <c r="N63" s="12" t="inlineStr">
        <is>
          <t>Platform owner of Actions and runners</t>
        </is>
      </c>
      <c r="O63" s="11" t="inlineStr">
        <is>
          <t>Grace Lindqvist</t>
        </is>
      </c>
      <c r="P63" s="13" t="n">
        <v>46213</v>
      </c>
      <c r="Q63" s="11" t="inlineStr"/>
      <c r="R63" s="11" t="inlineStr">
        <is>
          <t>Retain</t>
        </is>
      </c>
      <c r="S63" s="11" t="inlineStr"/>
      <c r="T63" s="12" t="inlineStr">
        <is>
          <t>None</t>
        </is>
      </c>
      <c r="U63" s="12" t="inlineStr"/>
      <c r="V63" s="11" t="inlineStr"/>
      <c r="W63" s="13" t="n"/>
      <c r="X63" s="11" t="inlineStr">
        <is>
          <t>Completed</t>
        </is>
      </c>
      <c r="Y63" s="13" t="n">
        <v>46213</v>
      </c>
      <c r="Z63" s="11" t="inlineStr"/>
      <c r="AA63" s="11" t="inlineStr"/>
      <c r="AB63" s="11" t="inlineStr"/>
      <c r="AC63" s="12" t="inlineStr"/>
      <c r="AD63">
        <f>IF(S63="",0,IF(COUNTIF(S$2:S63,S63&amp;"")=1,1,0))</f>
        <v/>
      </c>
    </row>
    <row r="64">
      <c r="A64" s="11" t="inlineStr">
        <is>
          <t>ENT-063</t>
        </is>
      </c>
      <c r="B64" s="11" t="inlineStr">
        <is>
          <t>jkim</t>
        </is>
      </c>
      <c r="C64" s="11" t="inlineStr">
        <is>
          <t>Employee</t>
        </is>
      </c>
      <c r="D64" s="11" t="inlineStr">
        <is>
          <t>Platform Engineering</t>
        </is>
      </c>
      <c r="E64" s="11" t="inlineStr">
        <is>
          <t>Senior SRE</t>
        </is>
      </c>
      <c r="F64" s="11" t="inlineStr">
        <is>
          <t>Tomasz Wierzbicki</t>
        </is>
      </c>
      <c r="G64" s="11" t="inlineStr">
        <is>
          <t>Active</t>
        </is>
      </c>
      <c r="H64" s="11" t="inlineStr">
        <is>
          <t>GitHub</t>
        </is>
      </c>
      <c r="I64" s="11" t="inlineStr">
        <is>
          <t>Organization Owner</t>
        </is>
      </c>
      <c r="J64" s="11" t="inlineStr">
        <is>
          <t>Y</t>
        </is>
      </c>
      <c r="K64" s="11" t="inlineStr">
        <is>
          <t>N</t>
        </is>
      </c>
      <c r="L64" s="13" t="n">
        <v>44270</v>
      </c>
      <c r="M64" s="13" t="n">
        <v>46203</v>
      </c>
      <c r="N64" s="12" t="inlineStr">
        <is>
          <t>Backup platform owner</t>
        </is>
      </c>
      <c r="O64" s="11" t="inlineStr">
        <is>
          <t>Grace Lindqvist</t>
        </is>
      </c>
      <c r="P64" s="13" t="n">
        <v>46213</v>
      </c>
      <c r="Q64" s="11" t="inlineStr"/>
      <c r="R64" s="11" t="inlineStr">
        <is>
          <t>Retain</t>
        </is>
      </c>
      <c r="S64" s="11" t="inlineStr"/>
      <c r="T64" s="12" t="inlineStr">
        <is>
          <t>None</t>
        </is>
      </c>
      <c r="U64" s="12" t="inlineStr"/>
      <c r="V64" s="11" t="inlineStr"/>
      <c r="W64" s="13" t="n"/>
      <c r="X64" s="11" t="inlineStr">
        <is>
          <t>Completed</t>
        </is>
      </c>
      <c r="Y64" s="13" t="n">
        <v>46213</v>
      </c>
      <c r="Z64" s="11" t="inlineStr"/>
      <c r="AA64" s="11" t="inlineStr"/>
      <c r="AB64" s="11" t="inlineStr"/>
      <c r="AC64" s="12" t="inlineStr"/>
      <c r="AD64">
        <f>IF(S64="",0,IF(COUNTIF(S$2:S64,S64&amp;"")=1,1,0))</f>
        <v/>
      </c>
    </row>
    <row r="65">
      <c r="A65" s="11" t="inlineStr">
        <is>
          <t>ENT-064</t>
        </is>
      </c>
      <c r="B65" s="11" t="inlineStr">
        <is>
          <t>glindqvist</t>
        </is>
      </c>
      <c r="C65" s="11" t="inlineStr">
        <is>
          <t>Employee</t>
        </is>
      </c>
      <c r="D65" s="11" t="inlineStr">
        <is>
          <t>Engineering</t>
        </is>
      </c>
      <c r="E65" s="11" t="inlineStr">
        <is>
          <t>VP Engineering</t>
        </is>
      </c>
      <c r="F65" s="11" t="inlineStr">
        <is>
          <t>Samir Haddad</t>
        </is>
      </c>
      <c r="G65" s="11" t="inlineStr">
        <is>
          <t>Active</t>
        </is>
      </c>
      <c r="H65" s="11" t="inlineStr">
        <is>
          <t>GitHub</t>
        </is>
      </c>
      <c r="I65" s="11" t="inlineStr">
        <is>
          <t>Organization Owner</t>
        </is>
      </c>
      <c r="J65" s="11" t="inlineStr">
        <is>
          <t>Y</t>
        </is>
      </c>
      <c r="K65" s="11" t="inlineStr">
        <is>
          <t>N</t>
        </is>
      </c>
      <c r="L65" s="13" t="n">
        <v>44004</v>
      </c>
      <c r="M65" s="13" t="n">
        <v>46170</v>
      </c>
      <c r="N65" s="12" t="inlineStr">
        <is>
          <t>VP Engineering</t>
        </is>
      </c>
      <c r="O65" s="11" t="inlineStr">
        <is>
          <t>Samir Haddad</t>
        </is>
      </c>
      <c r="P65" s="13" t="n">
        <v>46213</v>
      </c>
      <c r="Q65" s="11" t="inlineStr">
        <is>
          <t>F-BASELINE</t>
        </is>
      </c>
      <c r="R65" s="11" t="inlineStr">
        <is>
          <t>Modify</t>
        </is>
      </c>
      <c r="S65" s="11" t="inlineStr">
        <is>
          <t>AR-EX-08</t>
        </is>
      </c>
      <c r="T65" s="12" t="inlineStr">
        <is>
          <t>GitHub org owners (5) exceed the approved maximum of 3; owner role not required for VP Engineering</t>
        </is>
      </c>
      <c r="U65" s="12" t="inlineStr">
        <is>
          <t>Reduce to Maintainer; document owner roster in the access policy</t>
        </is>
      </c>
      <c r="V65" s="11" t="inlineStr">
        <is>
          <t>Samir Haddad</t>
        </is>
      </c>
      <c r="W65" s="13" t="n">
        <v>46248</v>
      </c>
      <c r="X65" s="11" t="inlineStr">
        <is>
          <t>Completed</t>
        </is>
      </c>
      <c r="Y65" s="13" t="n">
        <v>46245</v>
      </c>
      <c r="Z65" s="11" t="inlineStr">
        <is>
          <t>EVID-076</t>
        </is>
      </c>
      <c r="AA65" s="11" t="inlineStr">
        <is>
          <t>FIND-003</t>
        </is>
      </c>
      <c r="AB65" s="11" t="inlineStr">
        <is>
          <t>AC-6(5)</t>
        </is>
      </c>
      <c r="AC65" s="12" t="inlineStr"/>
      <c r="AD65">
        <f>IF(S65="",0,IF(COUNTIF(S$2:S65,S65&amp;"")=1,1,0))</f>
        <v/>
      </c>
    </row>
    <row r="66">
      <c r="A66" s="11" t="inlineStr">
        <is>
          <t>ENT-065</t>
        </is>
      </c>
      <c r="B66" s="11" t="inlineStr">
        <is>
          <t>hlarsen</t>
        </is>
      </c>
      <c r="C66" s="11" t="inlineStr">
        <is>
          <t>Employee</t>
        </is>
      </c>
      <c r="D66" s="11" t="inlineStr">
        <is>
          <t>Engineering</t>
        </is>
      </c>
      <c r="E66" s="11" t="inlineStr">
        <is>
          <t>Software Engineer</t>
        </is>
      </c>
      <c r="F66" s="11" t="inlineStr">
        <is>
          <t>Sofia Ricci</t>
        </is>
      </c>
      <c r="G66" s="11" t="inlineStr">
        <is>
          <t>Active</t>
        </is>
      </c>
      <c r="H66" s="11" t="inlineStr">
        <is>
          <t>GitHub</t>
        </is>
      </c>
      <c r="I66" s="11" t="inlineStr">
        <is>
          <t>Organization Owner</t>
        </is>
      </c>
      <c r="J66" s="11" t="inlineStr">
        <is>
          <t>Y</t>
        </is>
      </c>
      <c r="K66" s="11" t="inlineStr">
        <is>
          <t>N</t>
        </is>
      </c>
      <c r="L66" s="13" t="n">
        <v>45313</v>
      </c>
      <c r="M66" s="13" t="n">
        <v>46142</v>
      </c>
      <c r="N66" s="12" t="inlineStr">
        <is>
          <t>Granted to configure self-hosted Actions runners</t>
        </is>
      </c>
      <c r="O66" s="11" t="inlineStr">
        <is>
          <t>Grace Lindqvist</t>
        </is>
      </c>
      <c r="P66" s="13" t="n">
        <v>46213</v>
      </c>
      <c r="Q66" s="11" t="inlineStr">
        <is>
          <t>F-BASELINE</t>
        </is>
      </c>
      <c r="R66" s="11" t="inlineStr">
        <is>
          <t>Modify</t>
        </is>
      </c>
      <c r="S66" s="11" t="inlineStr">
        <is>
          <t>AR-EX-08</t>
        </is>
      </c>
      <c r="T66" s="12" t="inlineStr">
        <is>
          <t>GitHub org owners (5) exceed the approved maximum of 3; owner role not required for Software Engineer (granted in 2024 for runner setup)</t>
        </is>
      </c>
      <c r="U66" s="12" t="inlineStr">
        <is>
          <t>Reduce to Maintainer</t>
        </is>
      </c>
      <c r="V66" s="11" t="inlineStr">
        <is>
          <t>Grace Lindqvist</t>
        </is>
      </c>
      <c r="W66" s="13" t="n">
        <v>46248</v>
      </c>
      <c r="X66" s="11" t="inlineStr">
        <is>
          <t>Completed</t>
        </is>
      </c>
      <c r="Y66" s="13" t="n">
        <v>46245</v>
      </c>
      <c r="Z66" s="11" t="inlineStr">
        <is>
          <t>EVID-076</t>
        </is>
      </c>
      <c r="AA66" s="11" t="inlineStr">
        <is>
          <t>FIND-003</t>
        </is>
      </c>
      <c r="AB66" s="11" t="inlineStr">
        <is>
          <t>AC-6(5)</t>
        </is>
      </c>
      <c r="AC66" s="12" t="inlineStr"/>
      <c r="AD66">
        <f>IF(S66="",0,IF(COUNTIF(S$2:S66,S66&amp;"")=1,1,0))</f>
        <v/>
      </c>
    </row>
    <row r="67">
      <c r="A67" s="11" t="inlineStr">
        <is>
          <t>ENT-066</t>
        </is>
      </c>
      <c r="B67" s="11" t="inlineStr">
        <is>
          <t>vosei</t>
        </is>
      </c>
      <c r="C67" s="11" t="inlineStr">
        <is>
          <t>Contractor</t>
        </is>
      </c>
      <c r="D67" s="11" t="inlineStr">
        <is>
          <t>Engineering</t>
        </is>
      </c>
      <c r="E67" s="11" t="inlineStr">
        <is>
          <t>Contract Software Engineer</t>
        </is>
      </c>
      <c r="F67" s="11" t="inlineStr">
        <is>
          <t>Sofia Ricci</t>
        </is>
      </c>
      <c r="G67" s="11" t="inlineStr">
        <is>
          <t>Terminated</t>
        </is>
      </c>
      <c r="H67" s="11" t="inlineStr">
        <is>
          <t>GitHub</t>
        </is>
      </c>
      <c r="I67" s="11" t="inlineStr">
        <is>
          <t>Write (wcp-platform repositories)</t>
        </is>
      </c>
      <c r="J67" s="11" t="inlineStr">
        <is>
          <t>N</t>
        </is>
      </c>
      <c r="K67" s="11" t="inlineStr">
        <is>
          <t>N</t>
        </is>
      </c>
      <c r="L67" s="13" t="n">
        <v>45910</v>
      </c>
      <c r="M67" s="13" t="n">
        <v>46177</v>
      </c>
      <c r="N67" s="12" t="inlineStr">
        <is>
          <t>Contract engineering (Northgate SOW 2025-044)</t>
        </is>
      </c>
      <c r="O67" s="11" t="inlineStr">
        <is>
          <t>Grace Lindqvist</t>
        </is>
      </c>
      <c r="P67" s="13" t="n">
        <v>46209</v>
      </c>
      <c r="Q67" s="11" t="inlineStr">
        <is>
          <t>F-TERM</t>
        </is>
      </c>
      <c r="R67" s="11" t="inlineStr">
        <is>
          <t>Revoke</t>
        </is>
      </c>
      <c r="S67" s="11" t="inlineStr">
        <is>
          <t>AR-EX-02</t>
        </is>
      </c>
      <c r="T67" s="12" t="inlineStr">
        <is>
          <t>Terminated contractor retains GitHub write access</t>
        </is>
      </c>
      <c r="U67" s="12" t="inlineStr">
        <is>
          <t>Remove org membership; revoke PATs and SSH keys; review audit log for pushes after 2026-06-05 (none)</t>
        </is>
      </c>
      <c r="V67" s="11" t="inlineStr">
        <is>
          <t>Grace Lindqvist</t>
        </is>
      </c>
      <c r="W67" s="13" t="n">
        <v>46209</v>
      </c>
      <c r="X67" s="11" t="inlineStr">
        <is>
          <t>Completed</t>
        </is>
      </c>
      <c r="Y67" s="13" t="n">
        <v>46209</v>
      </c>
      <c r="Z67" s="11" t="inlineStr">
        <is>
          <t>EVID-061; EVID-078</t>
        </is>
      </c>
      <c r="AA67" s="11" t="inlineStr">
        <is>
          <t>FIND-001</t>
        </is>
      </c>
      <c r="AB67" s="11" t="inlineStr">
        <is>
          <t>AC-2(3); PS-7</t>
        </is>
      </c>
      <c r="AC67" s="12" t="inlineStr">
        <is>
          <t>Last GitHub activity 2026-06-04 (before end date)</t>
        </is>
      </c>
      <c r="AD67">
        <f>IF(S67="",0,IF(COUNTIF(S$2:S67,S67&amp;"")=1,1,0))</f>
        <v/>
      </c>
    </row>
    <row r="68">
      <c r="A68" s="11" t="inlineStr">
        <is>
          <t>ENT-067</t>
        </is>
      </c>
      <c r="B68" s="11" t="inlineStr">
        <is>
          <t>rgupta2</t>
        </is>
      </c>
      <c r="C68" s="11" t="inlineStr">
        <is>
          <t>Contractor</t>
        </is>
      </c>
      <c r="D68" s="11" t="inlineStr">
        <is>
          <t>Engineering</t>
        </is>
      </c>
      <c r="E68" s="11" t="inlineStr">
        <is>
          <t>Contract Software Engineer</t>
        </is>
      </c>
      <c r="F68" s="11" t="inlineStr">
        <is>
          <t>Sofia Ricci</t>
        </is>
      </c>
      <c r="G68" s="11" t="inlineStr">
        <is>
          <t>Terminated</t>
        </is>
      </c>
      <c r="H68" s="11" t="inlineStr">
        <is>
          <t>GitHub</t>
        </is>
      </c>
      <c r="I68" s="11" t="inlineStr">
        <is>
          <t>Write (wcp-platform repositories)</t>
        </is>
      </c>
      <c r="J68" s="11" t="inlineStr">
        <is>
          <t>N</t>
        </is>
      </c>
      <c r="K68" s="11" t="inlineStr">
        <is>
          <t>N</t>
        </is>
      </c>
      <c r="L68" s="13" t="n">
        <v>45448</v>
      </c>
      <c r="M68" s="13" t="n">
        <v>45744</v>
      </c>
      <c r="N68" s="12" t="inlineStr">
        <is>
          <t>Contract engineering (Northgate SOW 2024-117)</t>
        </is>
      </c>
      <c r="O68" s="11" t="inlineStr">
        <is>
          <t>Grace Lindqvist</t>
        </is>
      </c>
      <c r="P68" s="13" t="n">
        <v>46211</v>
      </c>
      <c r="Q68" s="11" t="inlineStr">
        <is>
          <t>F-DUP; F-INACTIVE; F-TERM</t>
        </is>
      </c>
      <c r="R68" s="11" t="inlineStr">
        <is>
          <t>Revoke</t>
        </is>
      </c>
      <c r="S68" s="11" t="inlineStr">
        <is>
          <t>AR-EX-12</t>
        </is>
      </c>
      <c r="T68" s="12" t="inlineStr">
        <is>
          <t>Duplicate identity retains GitHub write access</t>
        </is>
      </c>
      <c r="U68" s="12" t="inlineStr">
        <is>
          <t>Remove org membership; revoke PATs/SSH keys</t>
        </is>
      </c>
      <c r="V68" s="11" t="inlineStr">
        <is>
          <t>Grace Lindqvist</t>
        </is>
      </c>
      <c r="W68" s="13" t="n">
        <v>46220</v>
      </c>
      <c r="X68" s="11" t="inlineStr">
        <is>
          <t>Completed</t>
        </is>
      </c>
      <c r="Y68" s="13" t="n">
        <v>46217</v>
      </c>
      <c r="Z68" s="11" t="inlineStr">
        <is>
          <t>EVID-061</t>
        </is>
      </c>
      <c r="AA68" s="11" t="inlineStr">
        <is>
          <t>FIND-004</t>
        </is>
      </c>
      <c r="AB68" s="11" t="inlineStr">
        <is>
          <t>AC-2</t>
        </is>
      </c>
      <c r="AC68" s="12" t="inlineStr"/>
      <c r="AD68">
        <f>IF(S68="",0,IF(COUNTIF(S$2:S68,S68&amp;"")=1,1,0))</f>
        <v/>
      </c>
    </row>
    <row r="69">
      <c r="A69" s="11" t="inlineStr">
        <is>
          <t>ENT-068</t>
        </is>
      </c>
      <c r="B69" s="11" t="inlineStr">
        <is>
          <t>sricci</t>
        </is>
      </c>
      <c r="C69" s="11" t="inlineStr">
        <is>
          <t>Employee</t>
        </is>
      </c>
      <c r="D69" s="11" t="inlineStr">
        <is>
          <t>Engineering</t>
        </is>
      </c>
      <c r="E69" s="11" t="inlineStr">
        <is>
          <t>Engineering Manager</t>
        </is>
      </c>
      <c r="F69" s="11" t="inlineStr">
        <is>
          <t>Grace Lindqvist</t>
        </is>
      </c>
      <c r="G69" s="11" t="inlineStr">
        <is>
          <t>Active</t>
        </is>
      </c>
      <c r="H69" s="11" t="inlineStr">
        <is>
          <t>GitHub</t>
        </is>
      </c>
      <c r="I69" s="11" t="inlineStr">
        <is>
          <t>Repository Admin (prod-deploy environment approver)</t>
        </is>
      </c>
      <c r="J69" s="11" t="inlineStr">
        <is>
          <t>Y</t>
        </is>
      </c>
      <c r="K69" s="11" t="inlineStr">
        <is>
          <t>N</t>
        </is>
      </c>
      <c r="L69" s="13" t="n">
        <v>44242</v>
      </c>
      <c r="M69" s="13" t="n">
        <v>46203</v>
      </c>
      <c r="N69" s="12" t="inlineStr">
        <is>
          <t>Approves production deployments for application repos</t>
        </is>
      </c>
      <c r="O69" s="11" t="inlineStr">
        <is>
          <t>Grace Lindqvist</t>
        </is>
      </c>
      <c r="P69" s="13" t="n">
        <v>46213</v>
      </c>
      <c r="Q69" s="11" t="inlineStr"/>
      <c r="R69" s="11" t="inlineStr">
        <is>
          <t>Retain</t>
        </is>
      </c>
      <c r="S69" s="11" t="inlineStr"/>
      <c r="T69" s="12" t="inlineStr">
        <is>
          <t>None</t>
        </is>
      </c>
      <c r="U69" s="12" t="inlineStr"/>
      <c r="V69" s="11" t="inlineStr"/>
      <c r="W69" s="13" t="n"/>
      <c r="X69" s="11" t="inlineStr">
        <is>
          <t>Completed</t>
        </is>
      </c>
      <c r="Y69" s="13" t="n">
        <v>46213</v>
      </c>
      <c r="Z69" s="11" t="inlineStr"/>
      <c r="AA69" s="11" t="inlineStr"/>
      <c r="AB69" s="11" t="inlineStr"/>
      <c r="AC69" s="12" t="inlineStr"/>
      <c r="AD69">
        <f>IF(S69="",0,IF(COUNTIF(S$2:S69,S69&amp;"")=1,1,0))</f>
        <v/>
      </c>
    </row>
    <row r="70">
      <c r="A70" s="11" t="inlineStr">
        <is>
          <t>ENT-069</t>
        </is>
      </c>
      <c r="B70" s="11" t="inlineStr">
        <is>
          <t>jkim-adm</t>
        </is>
      </c>
      <c r="C70" s="11" t="inlineStr">
        <is>
          <t>Admin (separate)</t>
        </is>
      </c>
      <c r="D70" s="11" t="inlineStr">
        <is>
          <t>Platform Engineering</t>
        </is>
      </c>
      <c r="E70" s="11" t="inlineStr">
        <is>
          <t>Senior SRE</t>
        </is>
      </c>
      <c r="F70" s="11" t="inlineStr">
        <is>
          <t>Tomasz Wierzbicki</t>
        </is>
      </c>
      <c r="G70" s="11" t="inlineStr">
        <is>
          <t>Active</t>
        </is>
      </c>
      <c r="H70" s="11" t="inlineStr">
        <is>
          <t>wcp-core-db</t>
        </is>
      </c>
      <c r="I70" s="11" t="inlineStr">
        <is>
          <t>dba_admin</t>
        </is>
      </c>
      <c r="J70" s="11" t="inlineStr">
        <is>
          <t>Y</t>
        </is>
      </c>
      <c r="K70" s="11" t="inlineStr">
        <is>
          <t>Y</t>
        </is>
      </c>
      <c r="L70" s="13" t="n">
        <v>45880</v>
      </c>
      <c r="M70" s="13" t="n">
        <v>46185</v>
      </c>
      <c r="N70" s="12" t="inlineStr">
        <is>
          <t>Database administration (separate admin account)</t>
        </is>
      </c>
      <c r="O70" s="11" t="inlineStr">
        <is>
          <t>Tomasz Wierzbicki</t>
        </is>
      </c>
      <c r="P70" s="13" t="n">
        <v>46213</v>
      </c>
      <c r="Q70" s="11" t="inlineStr"/>
      <c r="R70" s="11" t="inlineStr">
        <is>
          <t>Retain</t>
        </is>
      </c>
      <c r="S70" s="11" t="inlineStr"/>
      <c r="T70" s="12" t="inlineStr">
        <is>
          <t>None</t>
        </is>
      </c>
      <c r="U70" s="12" t="inlineStr"/>
      <c r="V70" s="11" t="inlineStr"/>
      <c r="W70" s="13" t="n"/>
      <c r="X70" s="11" t="inlineStr">
        <is>
          <t>Completed</t>
        </is>
      </c>
      <c r="Y70" s="13" t="n">
        <v>46213</v>
      </c>
      <c r="Z70" s="11" t="inlineStr"/>
      <c r="AA70" s="11" t="inlineStr"/>
      <c r="AB70" s="11" t="inlineStr"/>
      <c r="AC70" s="12" t="inlineStr"/>
      <c r="AD70">
        <f>IF(S70="",0,IF(COUNTIF(S$2:S70,S70&amp;"")=1,1,0))</f>
        <v/>
      </c>
    </row>
    <row r="71">
      <c r="A71" s="11" t="inlineStr">
        <is>
          <t>ENT-070</t>
        </is>
      </c>
      <c r="B71" s="11" t="inlineStr">
        <is>
          <t>twierzbicki</t>
        </is>
      </c>
      <c r="C71" s="11" t="inlineStr">
        <is>
          <t>Employee</t>
        </is>
      </c>
      <c r="D71" s="11" t="inlineStr">
        <is>
          <t>Platform Engineering</t>
        </is>
      </c>
      <c r="E71" s="11" t="inlineStr">
        <is>
          <t>Director Platform Engineering</t>
        </is>
      </c>
      <c r="F71" s="11" t="inlineStr">
        <is>
          <t>Samir Haddad</t>
        </is>
      </c>
      <c r="G71" s="11" t="inlineStr">
        <is>
          <t>Active</t>
        </is>
      </c>
      <c r="H71" s="11" t="inlineStr">
        <is>
          <t>wcp-core-db</t>
        </is>
      </c>
      <c r="I71" s="11" t="inlineStr">
        <is>
          <t>dba_admin</t>
        </is>
      </c>
      <c r="J71" s="11" t="inlineStr">
        <is>
          <t>Y</t>
        </is>
      </c>
      <c r="K71" s="11" t="inlineStr">
        <is>
          <t>Y</t>
        </is>
      </c>
      <c r="L71" s="13" t="n">
        <v>43845</v>
      </c>
      <c r="M71" s="13" t="n">
        <v>46114</v>
      </c>
      <c r="N71" s="12" t="inlineStr">
        <is>
          <t>Database escalation</t>
        </is>
      </c>
      <c r="O71" s="11" t="inlineStr">
        <is>
          <t>Samir Haddad</t>
        </is>
      </c>
      <c r="P71" s="13" t="n">
        <v>46213</v>
      </c>
      <c r="Q71" s="11" t="inlineStr"/>
      <c r="R71" s="11" t="inlineStr">
        <is>
          <t>Retain</t>
        </is>
      </c>
      <c r="S71" s="11" t="inlineStr"/>
      <c r="T71" s="12" t="inlineStr">
        <is>
          <t>None</t>
        </is>
      </c>
      <c r="U71" s="12" t="inlineStr"/>
      <c r="V71" s="11" t="inlineStr"/>
      <c r="W71" s="13" t="n"/>
      <c r="X71" s="11" t="inlineStr">
        <is>
          <t>Completed</t>
        </is>
      </c>
      <c r="Y71" s="13" t="n">
        <v>46213</v>
      </c>
      <c r="Z71" s="11" t="inlineStr"/>
      <c r="AA71" s="11" t="inlineStr"/>
      <c r="AB71" s="11" t="inlineStr"/>
      <c r="AC71" s="12" t="inlineStr"/>
      <c r="AD71">
        <f>IF(S71="",0,IF(COUNTIF(S$2:S71,S71&amp;"")=1,1,0))</f>
        <v/>
      </c>
    </row>
    <row r="72">
      <c r="A72" s="11" t="inlineStr">
        <is>
          <t>ENT-071</t>
        </is>
      </c>
      <c r="B72" s="11" t="inlineStr">
        <is>
          <t>svc-wcp-app</t>
        </is>
      </c>
      <c r="C72" s="11" t="inlineStr">
        <is>
          <t>Service</t>
        </is>
      </c>
      <c r="D72" s="11" t="inlineStr">
        <is>
          <t>Platform Engineering (owner)</t>
        </is>
      </c>
      <c r="E72" s="11" t="inlineStr">
        <is>
          <t>Application database identity</t>
        </is>
      </c>
      <c r="F72" s="11" t="inlineStr">
        <is>
          <t>Tomasz Wierzbicki (owner)</t>
        </is>
      </c>
      <c r="G72" s="11" t="inlineStr">
        <is>
          <t>n/a (non-human)</t>
        </is>
      </c>
      <c r="H72" s="11" t="inlineStr">
        <is>
          <t>wcp-core-db</t>
        </is>
      </c>
      <c r="I72" s="11" t="inlineStr">
        <is>
          <t>app_rw</t>
        </is>
      </c>
      <c r="J72" s="11" t="inlineStr">
        <is>
          <t>Y</t>
        </is>
      </c>
      <c r="K72" s="11" t="inlineStr">
        <is>
          <t>Y</t>
        </is>
      </c>
      <c r="L72" s="13" t="n">
        <v>43845</v>
      </c>
      <c r="M72" s="13" t="n">
        <v>46203</v>
      </c>
      <c r="N72" s="12" t="inlineStr">
        <is>
          <t>Application service identity (secret auto-rotated)</t>
        </is>
      </c>
      <c r="O72" s="11" t="inlineStr">
        <is>
          <t>Tomasz Wierzbicki</t>
        </is>
      </c>
      <c r="P72" s="13" t="n">
        <v>46213</v>
      </c>
      <c r="Q72" s="11" t="inlineStr"/>
      <c r="R72" s="11" t="inlineStr">
        <is>
          <t>Retain</t>
        </is>
      </c>
      <c r="S72" s="11" t="inlineStr"/>
      <c r="T72" s="12" t="inlineStr">
        <is>
          <t>None</t>
        </is>
      </c>
      <c r="U72" s="12" t="inlineStr"/>
      <c r="V72" s="11" t="inlineStr"/>
      <c r="W72" s="13" t="n"/>
      <c r="X72" s="11" t="inlineStr">
        <is>
          <t>Completed</t>
        </is>
      </c>
      <c r="Y72" s="13" t="n">
        <v>46213</v>
      </c>
      <c r="Z72" s="11" t="inlineStr"/>
      <c r="AA72" s="11" t="inlineStr"/>
      <c r="AB72" s="11" t="inlineStr"/>
      <c r="AC72" s="12" t="inlineStr"/>
      <c r="AD72">
        <f>IF(S72="",0,IF(COUNTIF(S$2:S72,S72&amp;"")=1,1,0))</f>
        <v/>
      </c>
    </row>
    <row r="73">
      <c r="A73" s="11" t="inlineStr">
        <is>
          <t>ENT-072</t>
        </is>
      </c>
      <c r="B73" s="11" t="inlineStr">
        <is>
          <t>svc-quarrystone-extract</t>
        </is>
      </c>
      <c r="C73" s="11" t="inlineStr">
        <is>
          <t>Service</t>
        </is>
      </c>
      <c r="D73" s="11" t="inlineStr">
        <is>
          <t>Data Engineering (owner)</t>
        </is>
      </c>
      <c r="E73" s="11" t="inlineStr">
        <is>
          <t>Nightly Quarrystone extract query</t>
        </is>
      </c>
      <c r="F73" s="11" t="inlineStr">
        <is>
          <t>Liam Porter (owner)</t>
        </is>
      </c>
      <c r="G73" s="11" t="inlineStr">
        <is>
          <t>n/a (non-human)</t>
        </is>
      </c>
      <c r="H73" s="11" t="inlineStr">
        <is>
          <t>wcp-core-db</t>
        </is>
      </c>
      <c r="I73" s="11" t="inlineStr">
        <is>
          <t>extract_reader (extract views)</t>
        </is>
      </c>
      <c r="J73" s="11" t="inlineStr">
        <is>
          <t>N</t>
        </is>
      </c>
      <c r="K73" s="11" t="inlineStr">
        <is>
          <t>Y</t>
        </is>
      </c>
      <c r="L73" s="13" t="n">
        <v>44986</v>
      </c>
      <c r="M73" s="13" t="n">
        <v>46203</v>
      </c>
      <c r="N73" s="12" t="inlineStr">
        <is>
          <t>Nightly Quarrystone extract</t>
        </is>
      </c>
      <c r="O73" s="11" t="inlineStr">
        <is>
          <t>Tomasz Wierzbicki</t>
        </is>
      </c>
      <c r="P73" s="13" t="n">
        <v>46213</v>
      </c>
      <c r="Q73" s="11" t="inlineStr"/>
      <c r="R73" s="11" t="inlineStr">
        <is>
          <t>Retain</t>
        </is>
      </c>
      <c r="S73" s="11" t="inlineStr"/>
      <c r="T73" s="12" t="inlineStr">
        <is>
          <t>None</t>
        </is>
      </c>
      <c r="U73" s="12" t="inlineStr"/>
      <c r="V73" s="11" t="inlineStr"/>
      <c r="W73" s="13" t="n"/>
      <c r="X73" s="11" t="inlineStr">
        <is>
          <t>Completed</t>
        </is>
      </c>
      <c r="Y73" s="13" t="n">
        <v>46213</v>
      </c>
      <c r="Z73" s="11" t="inlineStr"/>
      <c r="AA73" s="11" t="inlineStr"/>
      <c r="AB73" s="11" t="inlineStr"/>
      <c r="AC73" s="12" t="inlineStr"/>
      <c r="AD73">
        <f>IF(S73="",0,IF(COUNTIF(S$2:S73,S73&amp;"")=1,1,0))</f>
        <v/>
      </c>
    </row>
    <row r="74">
      <c r="A74" s="11" t="inlineStr">
        <is>
          <t>ENT-073</t>
        </is>
      </c>
      <c r="B74" s="11" t="inlineStr">
        <is>
          <t>bnguyen</t>
        </is>
      </c>
      <c r="C74" s="11" t="inlineStr">
        <is>
          <t>Employee</t>
        </is>
      </c>
      <c r="D74" s="11" t="inlineStr">
        <is>
          <t>Data Engineering</t>
        </is>
      </c>
      <c r="E74" s="11" t="inlineStr">
        <is>
          <t>Data Engineer</t>
        </is>
      </c>
      <c r="F74" s="11" t="inlineStr">
        <is>
          <t>Liam Porter</t>
        </is>
      </c>
      <c r="G74" s="11" t="inlineStr">
        <is>
          <t>Active</t>
        </is>
      </c>
      <c r="H74" s="11" t="inlineStr">
        <is>
          <t>wcp-core-db</t>
        </is>
      </c>
      <c r="I74" s="11" t="inlineStr">
        <is>
          <t>app_rw (primary)</t>
        </is>
      </c>
      <c r="J74" s="11" t="inlineStr">
        <is>
          <t>Y</t>
        </is>
      </c>
      <c r="K74" s="11" t="inlineStr">
        <is>
          <t>Y</t>
        </is>
      </c>
      <c r="L74" s="13" t="n">
        <v>45824</v>
      </c>
      <c r="M74" s="13" t="n">
        <v>46184</v>
      </c>
      <c r="N74" s="12" t="inlineStr">
        <is>
          <t>Pipeline backfill</t>
        </is>
      </c>
      <c r="O74" s="11" t="inlineStr">
        <is>
          <t>Tomasz Wierzbicki</t>
        </is>
      </c>
      <c r="P74" s="13" t="n">
        <v>46213</v>
      </c>
      <c r="Q74" s="11" t="inlineStr">
        <is>
          <t>F-BASELINE</t>
        </is>
      </c>
      <c r="R74" s="11" t="inlineStr">
        <is>
          <t>Revoke</t>
        </is>
      </c>
      <c r="S74" s="11" t="inlineStr">
        <is>
          <t>AR-EX-07</t>
        </is>
      </c>
      <c r="T74" s="12" t="inlineStr">
        <is>
          <t>Write access to the PHI primary database is not required for Data Engineer role (backfill finished 2025-07)</t>
        </is>
      </c>
      <c r="U74" s="12" t="inlineStr">
        <is>
          <t>Revoke app_rw; run future backfills as reviewed migration jobs</t>
        </is>
      </c>
      <c r="V74" s="11" t="inlineStr">
        <is>
          <t>Tomasz Wierzbicki</t>
        </is>
      </c>
      <c r="W74" s="13" t="n">
        <v>46234</v>
      </c>
      <c r="X74" s="11" t="inlineStr">
        <is>
          <t>Completed</t>
        </is>
      </c>
      <c r="Y74" s="13" t="n">
        <v>46248</v>
      </c>
      <c r="Z74" s="11" t="inlineStr">
        <is>
          <t>EVID-075</t>
        </is>
      </c>
      <c r="AA74" s="11" t="inlineStr">
        <is>
          <t>FIND-003</t>
        </is>
      </c>
      <c r="AB74" s="11" t="inlineStr">
        <is>
          <t>AC-6; AC-6(5)</t>
        </is>
      </c>
      <c r="AC74" s="12" t="inlineStr">
        <is>
          <t>Completed 14 days after due date (migration-job pattern had to be built first)</t>
        </is>
      </c>
      <c r="AD74">
        <f>IF(S74="",0,IF(COUNTIF(S$2:S74,S74&amp;"")=1,1,0))</f>
        <v/>
      </c>
    </row>
    <row r="75">
      <c r="A75" s="11" t="inlineStr">
        <is>
          <t>ENT-074</t>
        </is>
      </c>
      <c r="B75" s="11" t="inlineStr">
        <is>
          <t>bnguyen</t>
        </is>
      </c>
      <c r="C75" s="11" t="inlineStr">
        <is>
          <t>Employee</t>
        </is>
      </c>
      <c r="D75" s="11" t="inlineStr">
        <is>
          <t>Data Engineering</t>
        </is>
      </c>
      <c r="E75" s="11" t="inlineStr">
        <is>
          <t>Data Engineer</t>
        </is>
      </c>
      <c r="F75" s="11" t="inlineStr">
        <is>
          <t>Liam Porter</t>
        </is>
      </c>
      <c r="G75" s="11" t="inlineStr">
        <is>
          <t>Active</t>
        </is>
      </c>
      <c r="H75" s="11" t="inlineStr">
        <is>
          <t>wcp-core-db</t>
        </is>
      </c>
      <c r="I75" s="11" t="inlineStr">
        <is>
          <t>analytics_readonly (replica)</t>
        </is>
      </c>
      <c r="J75" s="11" t="inlineStr">
        <is>
          <t>N</t>
        </is>
      </c>
      <c r="K75" s="11" t="inlineStr">
        <is>
          <t>Y</t>
        </is>
      </c>
      <c r="L75" s="13" t="n">
        <v>44613</v>
      </c>
      <c r="M75" s="13" t="n">
        <v>46203</v>
      </c>
      <c r="N75" s="12" t="inlineStr">
        <is>
          <t>Analytics pipelines</t>
        </is>
      </c>
      <c r="O75" s="11" t="inlineStr">
        <is>
          <t>Tomasz Wierzbicki</t>
        </is>
      </c>
      <c r="P75" s="13" t="n">
        <v>46213</v>
      </c>
      <c r="Q75" s="11" t="inlineStr"/>
      <c r="R75" s="11" t="inlineStr">
        <is>
          <t>Retain</t>
        </is>
      </c>
      <c r="S75" s="11" t="inlineStr"/>
      <c r="T75" s="12" t="inlineStr">
        <is>
          <t>None</t>
        </is>
      </c>
      <c r="U75" s="12" t="inlineStr"/>
      <c r="V75" s="11" t="inlineStr"/>
      <c r="W75" s="13" t="n"/>
      <c r="X75" s="11" t="inlineStr">
        <is>
          <t>Completed</t>
        </is>
      </c>
      <c r="Y75" s="13" t="n">
        <v>46213</v>
      </c>
      <c r="Z75" s="11" t="inlineStr"/>
      <c r="AA75" s="11" t="inlineStr"/>
      <c r="AB75" s="11" t="inlineStr"/>
      <c r="AC75" s="12" t="inlineStr"/>
      <c r="AD75">
        <f>IF(S75="",0,IF(COUNTIF(S$2:S75,S75&amp;"")=1,1,0))</f>
        <v/>
      </c>
    </row>
    <row r="76">
      <c r="A76" s="11" t="inlineStr">
        <is>
          <t>ENT-075</t>
        </is>
      </c>
      <c r="B76" s="11" t="inlineStr">
        <is>
          <t>lporter</t>
        </is>
      </c>
      <c r="C76" s="11" t="inlineStr">
        <is>
          <t>Employee</t>
        </is>
      </c>
      <c r="D76" s="11" t="inlineStr">
        <is>
          <t>Data Engineering</t>
        </is>
      </c>
      <c r="E76" s="11" t="inlineStr">
        <is>
          <t>Data Engineering Manager</t>
        </is>
      </c>
      <c r="F76" s="11" t="inlineStr">
        <is>
          <t>Samir Haddad</t>
        </is>
      </c>
      <c r="G76" s="11" t="inlineStr">
        <is>
          <t>Active</t>
        </is>
      </c>
      <c r="H76" s="11" t="inlineStr">
        <is>
          <t>wcp-core-db</t>
        </is>
      </c>
      <c r="I76" s="11" t="inlineStr">
        <is>
          <t>analytics_readonly (replica)</t>
        </is>
      </c>
      <c r="J76" s="11" t="inlineStr">
        <is>
          <t>N</t>
        </is>
      </c>
      <c r="K76" s="11" t="inlineStr">
        <is>
          <t>Y</t>
        </is>
      </c>
      <c r="L76" s="13" t="n">
        <v>44326</v>
      </c>
      <c r="M76" s="13" t="n">
        <v>46200</v>
      </c>
      <c r="N76" s="12" t="inlineStr">
        <is>
          <t>Analytics pipelines</t>
        </is>
      </c>
      <c r="O76" s="11" t="inlineStr">
        <is>
          <t>Tomasz Wierzbicki</t>
        </is>
      </c>
      <c r="P76" s="13" t="n">
        <v>46213</v>
      </c>
      <c r="Q76" s="11" t="inlineStr"/>
      <c r="R76" s="11" t="inlineStr">
        <is>
          <t>Retain</t>
        </is>
      </c>
      <c r="S76" s="11" t="inlineStr"/>
      <c r="T76" s="12" t="inlineStr">
        <is>
          <t>None</t>
        </is>
      </c>
      <c r="U76" s="12" t="inlineStr"/>
      <c r="V76" s="11" t="inlineStr"/>
      <c r="W76" s="13" t="n"/>
      <c r="X76" s="11" t="inlineStr">
        <is>
          <t>Completed</t>
        </is>
      </c>
      <c r="Y76" s="13" t="n">
        <v>46213</v>
      </c>
      <c r="Z76" s="11" t="inlineStr"/>
      <c r="AA76" s="11" t="inlineStr"/>
      <c r="AB76" s="11" t="inlineStr"/>
      <c r="AC76" s="12" t="inlineStr"/>
      <c r="AD76">
        <f>IF(S76="",0,IF(COUNTIF(S$2:S76,S76&amp;"")=1,1,0))</f>
        <v/>
      </c>
    </row>
    <row r="77">
      <c r="A77" s="11" t="inlineStr">
        <is>
          <t>ENT-076</t>
        </is>
      </c>
      <c r="B77" s="11" t="inlineStr">
        <is>
          <t>cfernandes</t>
        </is>
      </c>
      <c r="C77" s="11" t="inlineStr">
        <is>
          <t>Employee</t>
        </is>
      </c>
      <c r="D77" s="11" t="inlineStr">
        <is>
          <t>Data Engineering</t>
        </is>
      </c>
      <c r="E77" s="11" t="inlineStr">
        <is>
          <t>Data Engineer</t>
        </is>
      </c>
      <c r="F77" s="11" t="inlineStr">
        <is>
          <t>Liam Porter</t>
        </is>
      </c>
      <c r="G77" s="11" t="inlineStr">
        <is>
          <t>Active</t>
        </is>
      </c>
      <c r="H77" s="11" t="inlineStr">
        <is>
          <t>wcp-core-db</t>
        </is>
      </c>
      <c r="I77" s="11" t="inlineStr">
        <is>
          <t>analytics_readonly (replica)</t>
        </is>
      </c>
      <c r="J77" s="11" t="inlineStr">
        <is>
          <t>N</t>
        </is>
      </c>
      <c r="K77" s="11" t="inlineStr">
        <is>
          <t>Y</t>
        </is>
      </c>
      <c r="L77" s="13" t="n">
        <v>46070</v>
      </c>
      <c r="M77" s="13" t="n">
        <v>46203</v>
      </c>
      <c r="N77" s="12" t="inlineStr">
        <is>
          <t>Analytics pipelines (new role)</t>
        </is>
      </c>
      <c r="O77" s="11" t="inlineStr">
        <is>
          <t>Tomasz Wierzbicki</t>
        </is>
      </c>
      <c r="P77" s="13" t="n">
        <v>46213</v>
      </c>
      <c r="Q77" s="11" t="inlineStr"/>
      <c r="R77" s="11" t="inlineStr">
        <is>
          <t>Retain</t>
        </is>
      </c>
      <c r="S77" s="11" t="inlineStr"/>
      <c r="T77" s="12" t="inlineStr">
        <is>
          <t>None</t>
        </is>
      </c>
      <c r="U77" s="12" t="inlineStr"/>
      <c r="V77" s="11" t="inlineStr"/>
      <c r="W77" s="13" t="n"/>
      <c r="X77" s="11" t="inlineStr">
        <is>
          <t>Completed</t>
        </is>
      </c>
      <c r="Y77" s="13" t="n">
        <v>46213</v>
      </c>
      <c r="Z77" s="11" t="inlineStr"/>
      <c r="AA77" s="11" t="inlineStr"/>
      <c r="AB77" s="11" t="inlineStr"/>
      <c r="AC77" s="12" t="inlineStr"/>
      <c r="AD77">
        <f>IF(S77="",0,IF(COUNTIF(S$2:S77,S77&amp;"")=1,1,0))</f>
        <v/>
      </c>
    </row>
    <row r="78">
      <c r="A78" s="11" t="inlineStr">
        <is>
          <t>ENT-077</t>
        </is>
      </c>
      <c r="B78" s="11" t="inlineStr">
        <is>
          <t>cfernandes</t>
        </is>
      </c>
      <c r="C78" s="11" t="inlineStr">
        <is>
          <t>Employee</t>
        </is>
      </c>
      <c r="D78" s="11" t="inlineStr">
        <is>
          <t>Data Engineering</t>
        </is>
      </c>
      <c r="E78" s="11" t="inlineStr">
        <is>
          <t>Data Engineer</t>
        </is>
      </c>
      <c r="F78" s="11" t="inlineStr">
        <is>
          <t>Liam Porter</t>
        </is>
      </c>
      <c r="G78" s="11" t="inlineStr">
        <is>
          <t>Active</t>
        </is>
      </c>
      <c r="H78" s="11" t="inlineStr">
        <is>
          <t>wcp-core-db</t>
        </is>
      </c>
      <c r="I78" s="11" t="inlineStr">
        <is>
          <t>support_readonly (primary)</t>
        </is>
      </c>
      <c r="J78" s="11" t="inlineStr">
        <is>
          <t>N</t>
        </is>
      </c>
      <c r="K78" s="11" t="inlineStr">
        <is>
          <t>Y</t>
        </is>
      </c>
      <c r="L78" s="13" t="n">
        <v>45089</v>
      </c>
      <c r="M78" s="13" t="n">
        <v>46156</v>
      </c>
      <c r="N78" s="12" t="inlineStr">
        <is>
          <t>Tier-2 support troubleshooting</t>
        </is>
      </c>
      <c r="O78" s="11" t="inlineStr">
        <is>
          <t>Tomasz Wierzbicki</t>
        </is>
      </c>
      <c r="P78" s="13" t="n">
        <v>46212</v>
      </c>
      <c r="Q78" s="11" t="inlineStr">
        <is>
          <t>F-BASELINE; F-TRANSFER</t>
        </is>
      </c>
      <c r="R78" s="11" t="inlineStr">
        <is>
          <t>Revoke</t>
        </is>
      </c>
      <c r="S78" s="11" t="inlineStr">
        <is>
          <t>AR-EX-13</t>
        </is>
      </c>
      <c r="T78" s="12" t="inlineStr">
        <is>
          <t>Transferred from Support to Data Engineering on 2026-02-16 but kept PHI support access from prior role; used on 2026-05-14 (after transfer)</t>
        </is>
      </c>
      <c r="U78" s="12" t="inlineStr">
        <is>
          <t>Revoke; update the transfer checklist to re-baseline access</t>
        </is>
      </c>
      <c r="V78" s="11" t="inlineStr">
        <is>
          <t>Tomasz Wierzbicki</t>
        </is>
      </c>
      <c r="W78" s="13" t="n">
        <v>46220</v>
      </c>
      <c r="X78" s="11" t="inlineStr">
        <is>
          <t>Completed</t>
        </is>
      </c>
      <c r="Y78" s="13" t="n">
        <v>46216</v>
      </c>
      <c r="Z78" s="11" t="inlineStr">
        <is>
          <t>EVID-061</t>
        </is>
      </c>
      <c r="AA78" s="11" t="inlineStr">
        <is>
          <t>FIND-004</t>
        </is>
      </c>
      <c r="AB78" s="11" t="inlineStr">
        <is>
          <t>PS-5; AC-2</t>
        </is>
      </c>
      <c r="AC78" s="12" t="inlineStr">
        <is>
          <t>Interview: used to help former team on an escalation; should have gone through a ticket</t>
        </is>
      </c>
      <c r="AD78">
        <f>IF(S78="",0,IF(COUNTIF(S$2:S78,S78&amp;"")=1,1,0))</f>
        <v/>
      </c>
    </row>
    <row r="79">
      <c r="A79" s="11" t="inlineStr">
        <is>
          <t>ENT-078</t>
        </is>
      </c>
      <c r="B79" s="11" t="inlineStr">
        <is>
          <t>tmaddox</t>
        </is>
      </c>
      <c r="C79" s="11" t="inlineStr">
        <is>
          <t>Employee</t>
        </is>
      </c>
      <c r="D79" s="11" t="inlineStr">
        <is>
          <t>Customer Operations</t>
        </is>
      </c>
      <c r="E79" s="11" t="inlineStr">
        <is>
          <t>Support Engineer</t>
        </is>
      </c>
      <c r="F79" s="11" t="inlineStr">
        <is>
          <t>Jorge Almeida</t>
        </is>
      </c>
      <c r="G79" s="11" t="inlineStr">
        <is>
          <t>Active</t>
        </is>
      </c>
      <c r="H79" s="11" t="inlineStr">
        <is>
          <t>wcp-core-db</t>
        </is>
      </c>
      <c r="I79" s="11" t="inlineStr">
        <is>
          <t>support_readonly (primary)</t>
        </is>
      </c>
      <c r="J79" s="11" t="inlineStr">
        <is>
          <t>N</t>
        </is>
      </c>
      <c r="K79" s="11" t="inlineStr">
        <is>
          <t>Y</t>
        </is>
      </c>
      <c r="L79" s="13" t="n">
        <v>44844</v>
      </c>
      <c r="M79" s="13" t="n">
        <v>46203</v>
      </c>
      <c r="N79" s="12" t="inlineStr">
        <is>
          <t>Tier-2 support troubleshooting</t>
        </is>
      </c>
      <c r="O79" s="11" t="inlineStr">
        <is>
          <t>Tomasz Wierzbicki</t>
        </is>
      </c>
      <c r="P79" s="13" t="n">
        <v>46213</v>
      </c>
      <c r="Q79" s="11" t="inlineStr"/>
      <c r="R79" s="11" t="inlineStr">
        <is>
          <t>Retain</t>
        </is>
      </c>
      <c r="S79" s="11" t="inlineStr"/>
      <c r="T79" s="12" t="inlineStr">
        <is>
          <t>None</t>
        </is>
      </c>
      <c r="U79" s="12" t="inlineStr"/>
      <c r="V79" s="11" t="inlineStr"/>
      <c r="W79" s="13" t="n"/>
      <c r="X79" s="11" t="inlineStr">
        <is>
          <t>Completed</t>
        </is>
      </c>
      <c r="Y79" s="13" t="n">
        <v>46213</v>
      </c>
      <c r="Z79" s="11" t="inlineStr"/>
      <c r="AA79" s="11" t="inlineStr"/>
      <c r="AB79" s="11" t="inlineStr"/>
      <c r="AC79" s="12" t="inlineStr"/>
      <c r="AD79">
        <f>IF(S79="",0,IF(COUNTIF(S$2:S79,S79&amp;"")=1,1,0))</f>
        <v/>
      </c>
    </row>
    <row r="80">
      <c r="A80" s="11" t="inlineStr">
        <is>
          <t>ENT-079</t>
        </is>
      </c>
      <c r="B80" s="11" t="inlineStr">
        <is>
          <t>ebrooks</t>
        </is>
      </c>
      <c r="C80" s="11" t="inlineStr">
        <is>
          <t>Employee</t>
        </is>
      </c>
      <c r="D80" s="11" t="inlineStr">
        <is>
          <t>Customer Operations</t>
        </is>
      </c>
      <c r="E80" s="11" t="inlineStr">
        <is>
          <t>Support Engineer</t>
        </is>
      </c>
      <c r="F80" s="11" t="inlineStr">
        <is>
          <t>Jorge Almeida</t>
        </is>
      </c>
      <c r="G80" s="11" t="inlineStr">
        <is>
          <t>Active</t>
        </is>
      </c>
      <c r="H80" s="11" t="inlineStr">
        <is>
          <t>wcp-core-db</t>
        </is>
      </c>
      <c r="I80" s="11" t="inlineStr">
        <is>
          <t>support_readonly (primary)</t>
        </is>
      </c>
      <c r="J80" s="11" t="inlineStr">
        <is>
          <t>N</t>
        </is>
      </c>
      <c r="K80" s="11" t="inlineStr">
        <is>
          <t>Y</t>
        </is>
      </c>
      <c r="L80" s="13" t="n">
        <v>45440</v>
      </c>
      <c r="M80" s="13" t="n">
        <v>46202</v>
      </c>
      <c r="N80" s="12" t="inlineStr">
        <is>
          <t>Tier-2 support troubleshooting</t>
        </is>
      </c>
      <c r="O80" s="11" t="inlineStr">
        <is>
          <t>Tomasz Wierzbicki</t>
        </is>
      </c>
      <c r="P80" s="13" t="n">
        <v>46213</v>
      </c>
      <c r="Q80" s="11" t="inlineStr"/>
      <c r="R80" s="11" t="inlineStr">
        <is>
          <t>Retain</t>
        </is>
      </c>
      <c r="S80" s="11" t="inlineStr"/>
      <c r="T80" s="12" t="inlineStr">
        <is>
          <t>None</t>
        </is>
      </c>
      <c r="U80" s="12" t="inlineStr"/>
      <c r="V80" s="11" t="inlineStr"/>
      <c r="W80" s="13" t="n"/>
      <c r="X80" s="11" t="inlineStr">
        <is>
          <t>Completed</t>
        </is>
      </c>
      <c r="Y80" s="13" t="n">
        <v>46213</v>
      </c>
      <c r="Z80" s="11" t="inlineStr"/>
      <c r="AA80" s="11" t="inlineStr"/>
      <c r="AB80" s="11" t="inlineStr"/>
      <c r="AC80" s="12" t="inlineStr"/>
      <c r="AD80">
        <f>IF(S80="",0,IF(COUNTIF(S$2:S80,S80&amp;"")=1,1,0))</f>
        <v/>
      </c>
    </row>
    <row r="81">
      <c r="A81" s="11" t="inlineStr">
        <is>
          <t>ENT-080</t>
        </is>
      </c>
      <c r="B81" s="11" t="inlineStr">
        <is>
          <t>awu</t>
        </is>
      </c>
      <c r="C81" s="11" t="inlineStr">
        <is>
          <t>Contractor</t>
        </is>
      </c>
      <c r="D81" s="11" t="inlineStr">
        <is>
          <t>Engineering</t>
        </is>
      </c>
      <c r="E81" s="11" t="inlineStr">
        <is>
          <t>Contract QA Engineer</t>
        </is>
      </c>
      <c r="F81" s="11" t="inlineStr">
        <is>
          <t>Sofia Ricci</t>
        </is>
      </c>
      <c r="G81" s="11" t="inlineStr">
        <is>
          <t>Active</t>
        </is>
      </c>
      <c r="H81" s="11" t="inlineStr">
        <is>
          <t>wcp-core-db</t>
        </is>
      </c>
      <c r="I81" s="11" t="inlineStr">
        <is>
          <t>support_readonly (primary)</t>
        </is>
      </c>
      <c r="J81" s="11" t="inlineStr">
        <is>
          <t>N</t>
        </is>
      </c>
      <c r="K81" s="11" t="inlineStr">
        <is>
          <t>Y</t>
        </is>
      </c>
      <c r="L81" s="13" t="n">
        <v>46027</v>
      </c>
      <c r="M81" s="13" t="n">
        <v>46196</v>
      </c>
      <c r="N81" s="12" t="inlineStr">
        <is>
          <t>QA test data verification</t>
        </is>
      </c>
      <c r="O81" s="11" t="inlineStr">
        <is>
          <t>Tomasz Wierzbicki</t>
        </is>
      </c>
      <c r="P81" s="13" t="n">
        <v>46212</v>
      </c>
      <c r="Q81" s="11" t="inlineStr">
        <is>
          <t>F-BASELINE; F-CONTRACT</t>
        </is>
      </c>
      <c r="R81" s="11" t="inlineStr">
        <is>
          <t>Revoke</t>
        </is>
      </c>
      <c r="S81" s="11" t="inlineStr">
        <is>
          <t>AR-EX-16</t>
        </is>
      </c>
      <c r="T81" s="12" t="inlineStr">
        <is>
          <t>PHI production access not required for the QA role (QA uses staging with synthetic data)</t>
        </is>
      </c>
      <c r="U81" s="12" t="inlineStr">
        <is>
          <t>Revoke</t>
        </is>
      </c>
      <c r="V81" s="11" t="inlineStr">
        <is>
          <t>Tomasz Wierzbicki</t>
        </is>
      </c>
      <c r="W81" s="13" t="n">
        <v>46220</v>
      </c>
      <c r="X81" s="11" t="inlineStr">
        <is>
          <t>Completed</t>
        </is>
      </c>
      <c r="Y81" s="13" t="n">
        <v>46216</v>
      </c>
      <c r="Z81" s="11" t="inlineStr">
        <is>
          <t>EVID-066</t>
        </is>
      </c>
      <c r="AA81" s="11" t="inlineStr">
        <is>
          <t>FIND-006</t>
        </is>
      </c>
      <c r="AB81" s="11" t="inlineStr">
        <is>
          <t>AC-6; PS-7</t>
        </is>
      </c>
      <c r="AC81" s="12" t="inlineStr"/>
      <c r="AD81">
        <f>IF(S81="",0,IF(COUNTIF(S$2:S81,S81&amp;"")=1,1,0))</f>
        <v/>
      </c>
    </row>
    <row r="82">
      <c r="A82" s="11" t="inlineStr">
        <is>
          <t>ENT-081</t>
        </is>
      </c>
      <c r="B82" s="11" t="inlineStr">
        <is>
          <t>Administrator</t>
        </is>
      </c>
      <c r="C82" s="11" t="inlineStr">
        <is>
          <t>Break-glass</t>
        </is>
      </c>
      <c r="D82" s="11" t="inlineStr">
        <is>
          <t>Platform Engineering (owner)</t>
        </is>
      </c>
      <c r="E82" s="11" t="inlineStr">
        <is>
          <t>Local administrator</t>
        </is>
      </c>
      <c r="F82" s="11" t="inlineStr">
        <is>
          <t>Tomasz Wierzbicki (owner)</t>
        </is>
      </c>
      <c r="G82" s="11" t="inlineStr">
        <is>
          <t>n/a (non-human)</t>
        </is>
      </c>
      <c r="H82" s="11" t="inlineStr">
        <is>
          <t>wf-sftp-01</t>
        </is>
      </c>
      <c r="I82" s="11" t="inlineStr">
        <is>
          <t>Local Administrator</t>
        </is>
      </c>
      <c r="J82" s="11" t="inlineStr">
        <is>
          <t>Y</t>
        </is>
      </c>
      <c r="K82" s="11" t="inlineStr">
        <is>
          <t>Y</t>
        </is>
      </c>
      <c r="L82" s="13" t="n">
        <v>43619</v>
      </c>
      <c r="M82" s="13" t="n">
        <v>46175</v>
      </c>
      <c r="N82" s="12" t="inlineStr">
        <is>
          <t>Local admin; password vaulted; access via SSM only</t>
        </is>
      </c>
      <c r="O82" s="11" t="inlineStr">
        <is>
          <t>Tomasz Wierzbicki</t>
        </is>
      </c>
      <c r="P82" s="13" t="n">
        <v>46213</v>
      </c>
      <c r="Q82" s="11" t="inlineStr"/>
      <c r="R82" s="11" t="inlineStr">
        <is>
          <t>Retain</t>
        </is>
      </c>
      <c r="S82" s="11" t="inlineStr"/>
      <c r="T82" s="12" t="inlineStr">
        <is>
          <t>None</t>
        </is>
      </c>
      <c r="U82" s="12" t="inlineStr"/>
      <c r="V82" s="11" t="inlineStr"/>
      <c r="W82" s="13" t="n"/>
      <c r="X82" s="11" t="inlineStr">
        <is>
          <t>Completed</t>
        </is>
      </c>
      <c r="Y82" s="13" t="n">
        <v>46213</v>
      </c>
      <c r="Z82" s="11" t="inlineStr"/>
      <c r="AA82" s="11" t="inlineStr"/>
      <c r="AB82" s="11" t="inlineStr"/>
      <c r="AC82" s="12" t="inlineStr"/>
      <c r="AD82">
        <f>IF(S82="",0,IF(COUNTIF(S$2:S82,S82&amp;"")=1,1,0))</f>
        <v/>
      </c>
    </row>
    <row r="83">
      <c r="A83" s="11" t="inlineStr">
        <is>
          <t>ENT-082</t>
        </is>
      </c>
      <c r="B83" s="11" t="inlineStr">
        <is>
          <t>svc-quarrystone-sftp</t>
        </is>
      </c>
      <c r="C83" s="11" t="inlineStr">
        <is>
          <t>Service</t>
        </is>
      </c>
      <c r="D83" s="11" t="inlineStr"/>
      <c r="E83" s="11" t="inlineStr">
        <is>
          <t>SFTP push of nightly extract to Quarrystone</t>
        </is>
      </c>
      <c r="F83" s="11" t="inlineStr">
        <is>
          <t>UNDOCUMENTED</t>
        </is>
      </c>
      <c r="G83" s="11" t="inlineStr">
        <is>
          <t>n/a (non-human)</t>
        </is>
      </c>
      <c r="H83" s="11" t="inlineStr">
        <is>
          <t>wf-sftp-01</t>
        </is>
      </c>
      <c r="I83" s="11" t="inlineStr">
        <is>
          <t>SFTP push (Quarrystone extract)</t>
        </is>
      </c>
      <c r="J83" s="11" t="inlineStr">
        <is>
          <t>N</t>
        </is>
      </c>
      <c r="K83" s="11" t="inlineStr">
        <is>
          <t>Y</t>
        </is>
      </c>
      <c r="L83" s="13" t="n">
        <v>44986</v>
      </c>
      <c r="M83" s="13" t="n">
        <v>46203</v>
      </c>
      <c r="N83" s="12" t="inlineStr">
        <is>
          <t>Nightly extract transfer</t>
        </is>
      </c>
      <c r="O83" s="11" t="inlineStr">
        <is>
          <t>Tomasz Wierzbicki</t>
        </is>
      </c>
      <c r="P83" s="13" t="n">
        <v>46212</v>
      </c>
      <c r="Q83" s="11" t="inlineStr">
        <is>
          <t>F-SVC-OWNER; F-SVC-ROTATION</t>
        </is>
      </c>
      <c r="R83" s="11" t="inlineStr">
        <is>
          <t>Modify</t>
        </is>
      </c>
      <c r="S83" s="11" t="inlineStr">
        <is>
          <t>AR-EX-18</t>
        </is>
      </c>
      <c r="T83" s="12" t="inlineStr">
        <is>
          <t>Service account has no documented owner; SSH key not rotated in over 365 days</t>
        </is>
      </c>
      <c r="U83" s="12" t="inlineStr">
        <is>
          <t>Assign owner (Liam Porter); rotate key; retire with SFTP migration (POAM-011)</t>
        </is>
      </c>
      <c r="V83" s="11" t="inlineStr">
        <is>
          <t>Liam Porter</t>
        </is>
      </c>
      <c r="W83" s="13" t="n">
        <v>46262</v>
      </c>
      <c r="X83" s="11" t="inlineStr">
        <is>
          <t>Completed</t>
        </is>
      </c>
      <c r="Y83" s="13" t="n">
        <v>46259</v>
      </c>
      <c r="Z83" s="11" t="inlineStr">
        <is>
          <t>EVID-065</t>
        </is>
      </c>
      <c r="AA83" s="11" t="inlineStr">
        <is>
          <t>FIND-005</t>
        </is>
      </c>
      <c r="AB83" s="11" t="inlineStr">
        <is>
          <t>IA-5; AC-2</t>
        </is>
      </c>
      <c r="AC83" s="12" t="inlineStr"/>
      <c r="AD83">
        <f>IF(S83="",0,IF(COUNTIF(S$2:S83,S83&amp;"")=1,1,0))</f>
        <v/>
      </c>
    </row>
    <row r="84">
      <c r="A84" s="11" t="inlineStr">
        <is>
          <t>ENT-083</t>
        </is>
      </c>
      <c r="B84" s="11" t="inlineStr">
        <is>
          <t>cust-lakemont-drop</t>
        </is>
      </c>
      <c r="C84" s="11" t="inlineStr">
        <is>
          <t>Service</t>
        </is>
      </c>
      <c r="D84" s="11" t="inlineStr">
        <is>
          <t>Customer Operations (owner)</t>
        </is>
      </c>
      <c r="E84" s="11" t="inlineStr">
        <is>
          <t>Customer file exchange (Lakemont)</t>
        </is>
      </c>
      <c r="F84" s="11" t="inlineStr">
        <is>
          <t>Tanya Maddox (owner)</t>
        </is>
      </c>
      <c r="G84" s="11" t="inlineStr">
        <is>
          <t>n/a (non-human)</t>
        </is>
      </c>
      <c r="H84" s="11" t="inlineStr">
        <is>
          <t>wf-sftp-01</t>
        </is>
      </c>
      <c r="I84" s="11" t="inlineStr">
        <is>
          <t>SFTP customer drop (Lakemont)</t>
        </is>
      </c>
      <c r="J84" s="11" t="inlineStr">
        <is>
          <t>N</t>
        </is>
      </c>
      <c r="K84" s="11" t="inlineStr">
        <is>
          <t>Y</t>
        </is>
      </c>
      <c r="L84" s="13" t="n">
        <v>44669</v>
      </c>
      <c r="M84" s="13" t="n">
        <v>46201</v>
      </c>
      <c r="N84" s="12" t="inlineStr">
        <is>
          <t>Customer file exchange</t>
        </is>
      </c>
      <c r="O84" s="11" t="inlineStr">
        <is>
          <t>Tomasz Wierzbicki</t>
        </is>
      </c>
      <c r="P84" s="13" t="n">
        <v>46213</v>
      </c>
      <c r="Q84" s="11" t="inlineStr"/>
      <c r="R84" s="11" t="inlineStr">
        <is>
          <t>Retain</t>
        </is>
      </c>
      <c r="S84" s="11" t="inlineStr"/>
      <c r="T84" s="12" t="inlineStr">
        <is>
          <t>None</t>
        </is>
      </c>
      <c r="U84" s="12" t="inlineStr"/>
      <c r="V84" s="11" t="inlineStr"/>
      <c r="W84" s="13" t="n"/>
      <c r="X84" s="11" t="inlineStr">
        <is>
          <t>Completed</t>
        </is>
      </c>
      <c r="Y84" s="13" t="n">
        <v>46213</v>
      </c>
      <c r="Z84" s="11" t="inlineStr"/>
      <c r="AA84" s="11" t="inlineStr"/>
      <c r="AB84" s="11" t="inlineStr"/>
      <c r="AC84" s="12" t="inlineStr"/>
      <c r="AD84">
        <f>IF(S84="",0,IF(COUNTIF(S$2:S84,S84&amp;"")=1,1,0))</f>
        <v/>
      </c>
    </row>
    <row r="85">
      <c r="A85" s="11" t="inlineStr">
        <is>
          <t>ENT-084</t>
        </is>
      </c>
      <c r="B85" s="11" t="inlineStr">
        <is>
          <t>dyamamoto</t>
        </is>
      </c>
      <c r="C85" s="11" t="inlineStr">
        <is>
          <t>Employee</t>
        </is>
      </c>
      <c r="D85" s="11" t="inlineStr">
        <is>
          <t>People</t>
        </is>
      </c>
      <c r="E85" s="11" t="inlineStr">
        <is>
          <t>Director of People</t>
        </is>
      </c>
      <c r="F85" s="11" t="inlineStr">
        <is>
          <t>Elena Marsh</t>
        </is>
      </c>
      <c r="G85" s="11" t="inlineStr">
        <is>
          <t>Active</t>
        </is>
      </c>
      <c r="H85" s="11" t="inlineStr">
        <is>
          <t>PeopleHub</t>
        </is>
      </c>
      <c r="I85" s="11" t="inlineStr">
        <is>
          <t>HR Administrator</t>
        </is>
      </c>
      <c r="J85" s="11" t="inlineStr">
        <is>
          <t>Y</t>
        </is>
      </c>
      <c r="K85" s="11" t="inlineStr">
        <is>
          <t>N</t>
        </is>
      </c>
      <c r="L85" s="13" t="n">
        <v>43892</v>
      </c>
      <c r="M85" s="13" t="n">
        <v>46203</v>
      </c>
      <c r="N85" s="12" t="inlineStr">
        <is>
          <t>Director of People</t>
        </is>
      </c>
      <c r="O85" s="11" t="inlineStr">
        <is>
          <t>Elena Marsh</t>
        </is>
      </c>
      <c r="P85" s="13" t="n">
        <v>46213</v>
      </c>
      <c r="Q85" s="11" t="inlineStr"/>
      <c r="R85" s="11" t="inlineStr">
        <is>
          <t>Retain</t>
        </is>
      </c>
      <c r="S85" s="11" t="inlineStr"/>
      <c r="T85" s="12" t="inlineStr">
        <is>
          <t>None</t>
        </is>
      </c>
      <c r="U85" s="12" t="inlineStr"/>
      <c r="V85" s="11" t="inlineStr"/>
      <c r="W85" s="13" t="n"/>
      <c r="X85" s="11" t="inlineStr">
        <is>
          <t>Completed</t>
        </is>
      </c>
      <c r="Y85" s="13" t="n">
        <v>46213</v>
      </c>
      <c r="Z85" s="11" t="inlineStr"/>
      <c r="AA85" s="11" t="inlineStr"/>
      <c r="AB85" s="11" t="inlineStr"/>
      <c r="AC85" s="12" t="inlineStr"/>
      <c r="AD85">
        <f>IF(S85="",0,IF(COUNTIF(S$2:S85,S85&amp;"")=1,1,0))</f>
        <v/>
      </c>
    </row>
    <row r="86">
      <c r="A86" s="11" t="inlineStr">
        <is>
          <t>ENT-085</t>
        </is>
      </c>
      <c r="B86" s="11" t="inlineStr">
        <is>
          <t>svc-hris-sync</t>
        </is>
      </c>
      <c r="C86" s="11" t="inlineStr">
        <is>
          <t>Service</t>
        </is>
      </c>
      <c r="D86" s="11" t="inlineStr">
        <is>
          <t>Security (owner)</t>
        </is>
      </c>
      <c r="E86" s="11" t="inlineStr">
        <is>
          <t>HRIS-to-Okta attribute sync</t>
        </is>
      </c>
      <c r="F86" s="11" t="inlineStr">
        <is>
          <t>Nadia Rahman (owner)</t>
        </is>
      </c>
      <c r="G86" s="11" t="inlineStr">
        <is>
          <t>n/a (non-human)</t>
        </is>
      </c>
      <c r="H86" s="11" t="inlineStr">
        <is>
          <t>PeopleHub</t>
        </is>
      </c>
      <c r="I86" s="11" t="inlineStr">
        <is>
          <t>API integration (read worker records)</t>
        </is>
      </c>
      <c r="J86" s="11" t="inlineStr">
        <is>
          <t>N</t>
        </is>
      </c>
      <c r="K86" s="11" t="inlineStr">
        <is>
          <t>N</t>
        </is>
      </c>
      <c r="L86" s="13" t="n">
        <v>45078</v>
      </c>
      <c r="M86" s="13" t="n">
        <v>46203</v>
      </c>
      <c r="N86" s="12" t="inlineStr">
        <is>
          <t>HRIS-to-Okta attribute sync</t>
        </is>
      </c>
      <c r="O86" s="11" t="inlineStr">
        <is>
          <t>Denise Yamamoto</t>
        </is>
      </c>
      <c r="P86" s="13" t="n">
        <v>46213</v>
      </c>
      <c r="Q86" s="11" t="inlineStr"/>
      <c r="R86" s="11" t="inlineStr">
        <is>
          <t>Retain</t>
        </is>
      </c>
      <c r="S86" s="11" t="inlineStr"/>
      <c r="T86" s="12" t="inlineStr">
        <is>
          <t>None</t>
        </is>
      </c>
      <c r="U86" s="12" t="inlineStr"/>
      <c r="V86" s="11" t="inlineStr"/>
      <c r="W86" s="13" t="n"/>
      <c r="X86" s="11" t="inlineStr">
        <is>
          <t>Completed</t>
        </is>
      </c>
      <c r="Y86" s="13" t="n">
        <v>46213</v>
      </c>
      <c r="Z86" s="11" t="inlineStr"/>
      <c r="AA86" s="11" t="inlineStr"/>
      <c r="AB86" s="11" t="inlineStr"/>
      <c r="AC86" s="12" t="inlineStr"/>
      <c r="AD86">
        <f>IF(S86="",0,IF(COUNTIF(S$2:S86,S86&amp;"")=1,1,0))</f>
        <v/>
      </c>
    </row>
    <row r="87">
      <c r="A87" s="11" t="inlineStr">
        <is>
          <t>ENT-086</t>
        </is>
      </c>
      <c r="B87" s="11" t="inlineStr">
        <is>
          <t>lbrenneman</t>
        </is>
      </c>
      <c r="C87" s="11" t="inlineStr">
        <is>
          <t>Employee</t>
        </is>
      </c>
      <c r="D87" s="11" t="inlineStr">
        <is>
          <t>Finance</t>
        </is>
      </c>
      <c r="E87" s="11" t="inlineStr">
        <is>
          <t>Controller</t>
        </is>
      </c>
      <c r="F87" s="11" t="inlineStr">
        <is>
          <t>Raymond Okafor</t>
        </is>
      </c>
      <c r="G87" s="11" t="inlineStr">
        <is>
          <t>Active</t>
        </is>
      </c>
      <c r="H87" s="11" t="inlineStr">
        <is>
          <t>Ledgerline</t>
        </is>
      </c>
      <c r="I87" s="11" t="inlineStr">
        <is>
          <t>Controller</t>
        </is>
      </c>
      <c r="J87" s="11" t="inlineStr">
        <is>
          <t>Y</t>
        </is>
      </c>
      <c r="K87" s="11" t="inlineStr">
        <is>
          <t>N</t>
        </is>
      </c>
      <c r="L87" s="13" t="n">
        <v>44480</v>
      </c>
      <c r="M87" s="13" t="n">
        <v>46203</v>
      </c>
      <c r="N87" s="12" t="inlineStr">
        <is>
          <t>Controller</t>
        </is>
      </c>
      <c r="O87" s="11" t="inlineStr">
        <is>
          <t>Raymond Okafor</t>
        </is>
      </c>
      <c r="P87" s="13" t="n">
        <v>46213</v>
      </c>
      <c r="Q87" s="11" t="inlineStr"/>
      <c r="R87" s="11" t="inlineStr">
        <is>
          <t>Retain</t>
        </is>
      </c>
      <c r="S87" s="11" t="inlineStr"/>
      <c r="T87" s="12" t="inlineStr">
        <is>
          <t>None</t>
        </is>
      </c>
      <c r="U87" s="12" t="inlineStr"/>
      <c r="V87" s="11" t="inlineStr"/>
      <c r="W87" s="13" t="n"/>
      <c r="X87" s="11" t="inlineStr">
        <is>
          <t>Completed</t>
        </is>
      </c>
      <c r="Y87" s="13" t="n">
        <v>46213</v>
      </c>
      <c r="Z87" s="11" t="inlineStr"/>
      <c r="AA87" s="11" t="inlineStr"/>
      <c r="AB87" s="11" t="inlineStr"/>
      <c r="AC87" s="12" t="inlineStr"/>
      <c r="AD87">
        <f>IF(S87="",0,IF(COUNTIF(S$2:S87,S87&amp;"")=1,1,0))</f>
        <v/>
      </c>
    </row>
    <row r="88">
      <c r="A88" s="11" t="inlineStr">
        <is>
          <t>ENT-087</t>
        </is>
      </c>
      <c r="B88" s="11" t="inlineStr">
        <is>
          <t>rokafor</t>
        </is>
      </c>
      <c r="C88" s="11" t="inlineStr">
        <is>
          <t>Employee</t>
        </is>
      </c>
      <c r="D88" s="11" t="inlineStr">
        <is>
          <t>Finance</t>
        </is>
      </c>
      <c r="E88" s="11" t="inlineStr">
        <is>
          <t>Chief Financial Officer</t>
        </is>
      </c>
      <c r="F88" s="11" t="inlineStr">
        <is>
          <t>Elena Marsh</t>
        </is>
      </c>
      <c r="G88" s="11" t="inlineStr">
        <is>
          <t>Active</t>
        </is>
      </c>
      <c r="H88" s="11" t="inlineStr">
        <is>
          <t>Ledgerline</t>
        </is>
      </c>
      <c r="I88" s="11" t="inlineStr">
        <is>
          <t>Payment Approver (&gt; $25k)</t>
        </is>
      </c>
      <c r="J88" s="11" t="inlineStr">
        <is>
          <t>Y</t>
        </is>
      </c>
      <c r="K88" s="11" t="inlineStr">
        <is>
          <t>N</t>
        </is>
      </c>
      <c r="L88" s="13" t="n">
        <v>43843</v>
      </c>
      <c r="M88" s="13" t="n">
        <v>46199</v>
      </c>
      <c r="N88" s="12" t="inlineStr">
        <is>
          <t>CFO approval authority</t>
        </is>
      </c>
      <c r="O88" s="11" t="inlineStr">
        <is>
          <t>Elena Marsh</t>
        </is>
      </c>
      <c r="P88" s="13" t="n">
        <v>46213</v>
      </c>
      <c r="Q88" s="11" t="inlineStr"/>
      <c r="R88" s="11" t="inlineStr">
        <is>
          <t>Retain</t>
        </is>
      </c>
      <c r="S88" s="11" t="inlineStr"/>
      <c r="T88" s="12" t="inlineStr">
        <is>
          <t>None</t>
        </is>
      </c>
      <c r="U88" s="12" t="inlineStr"/>
      <c r="V88" s="11" t="inlineStr"/>
      <c r="W88" s="13" t="n"/>
      <c r="X88" s="11" t="inlineStr">
        <is>
          <t>Completed</t>
        </is>
      </c>
      <c r="Y88" s="13" t="n">
        <v>46213</v>
      </c>
      <c r="Z88" s="11" t="inlineStr"/>
      <c r="AA88" s="11" t="inlineStr"/>
      <c r="AB88" s="11" t="inlineStr"/>
      <c r="AC88" s="12" t="inlineStr"/>
      <c r="AD88">
        <f>IF(S88="",0,IF(COUNTIF(S$2:S88,S88&amp;"")=1,1,0))</f>
        <v/>
      </c>
    </row>
    <row r="89">
      <c r="A89" s="11" t="inlineStr">
        <is>
          <t>ENT-088</t>
        </is>
      </c>
      <c r="B89" s="11" t="inlineStr">
        <is>
          <t>jmercer</t>
        </is>
      </c>
      <c r="C89" s="11" t="inlineStr">
        <is>
          <t>Employee</t>
        </is>
      </c>
      <c r="D89" s="11" t="inlineStr">
        <is>
          <t>Finance</t>
        </is>
      </c>
      <c r="E89" s="11" t="inlineStr">
        <is>
          <t>Senior Accountant</t>
        </is>
      </c>
      <c r="F89" s="11" t="inlineStr">
        <is>
          <t>Laura Brenneman</t>
        </is>
      </c>
      <c r="G89" s="11" t="inlineStr">
        <is>
          <t>Active</t>
        </is>
      </c>
      <c r="H89" s="11" t="inlineStr">
        <is>
          <t>Ledgerline</t>
        </is>
      </c>
      <c r="I89" s="11" t="inlineStr">
        <is>
          <t>Vendor Master Maintain</t>
        </is>
      </c>
      <c r="J89" s="11" t="inlineStr">
        <is>
          <t>Y</t>
        </is>
      </c>
      <c r="K89" s="11" t="inlineStr">
        <is>
          <t>N</t>
        </is>
      </c>
      <c r="L89" s="13" t="n">
        <v>44963</v>
      </c>
      <c r="M89" s="13" t="n">
        <v>46197</v>
      </c>
      <c r="N89" s="12" t="inlineStr">
        <is>
          <t>Vendor onboarding backlog</t>
        </is>
      </c>
      <c r="O89" s="11" t="inlineStr">
        <is>
          <t>Laura Brenneman</t>
        </is>
      </c>
      <c r="P89" s="13" t="n">
        <v>46213</v>
      </c>
      <c r="Q89" s="11" t="inlineStr">
        <is>
          <t>F-SOD</t>
        </is>
      </c>
      <c r="R89" s="11" t="inlineStr">
        <is>
          <t>Retain with exception</t>
        </is>
      </c>
      <c r="S89" s="11" t="inlineStr">
        <is>
          <t>AR-EX-17</t>
        </is>
      </c>
      <c r="T89" s="12" t="inlineStr">
        <is>
          <t>SoD conflict SOD-01: Vendor Master Maintain + Payment Approver (&lt;= $25k)</t>
        </is>
      </c>
      <c r="U89" s="12" t="inlineStr">
        <is>
          <t>Formal risk acceptance with compensating monthly vendor-master change review by the Controller; redesign roles when the AP role is backfilled</t>
        </is>
      </c>
      <c r="V89" s="11" t="inlineStr">
        <is>
          <t>Laura Brenneman</t>
        </is>
      </c>
      <c r="W89" s="13" t="n">
        <v>46248</v>
      </c>
      <c r="X89" s="11" t="inlineStr">
        <is>
          <t>Risk Accepted</t>
        </is>
      </c>
      <c r="Y89" s="13" t="n">
        <v>46246</v>
      </c>
      <c r="Z89" s="11" t="inlineStr">
        <is>
          <t>EVID-060; EVID-015</t>
        </is>
      </c>
      <c r="AA89" s="11" t="inlineStr">
        <is>
          <t>FIND-007</t>
        </is>
      </c>
      <c r="AB89" s="11" t="inlineStr">
        <is>
          <t>AC-5</t>
        </is>
      </c>
      <c r="AC89" s="12" t="inlineStr">
        <is>
          <t>Three-person finance team after AP departure; see RACC-001</t>
        </is>
      </c>
      <c r="AD89">
        <f>IF(S89="",0,IF(COUNTIF(S$2:S89,S89&amp;"")=1,1,0))</f>
        <v/>
      </c>
    </row>
    <row r="90">
      <c r="A90" s="11" t="inlineStr">
        <is>
          <t>ENT-089</t>
        </is>
      </c>
      <c r="B90" s="11" t="inlineStr">
        <is>
          <t>jmercer</t>
        </is>
      </c>
      <c r="C90" s="11" t="inlineStr">
        <is>
          <t>Employee</t>
        </is>
      </c>
      <c r="D90" s="11" t="inlineStr">
        <is>
          <t>Finance</t>
        </is>
      </c>
      <c r="E90" s="11" t="inlineStr">
        <is>
          <t>Senior Accountant</t>
        </is>
      </c>
      <c r="F90" s="11" t="inlineStr">
        <is>
          <t>Laura Brenneman</t>
        </is>
      </c>
      <c r="G90" s="11" t="inlineStr">
        <is>
          <t>Active</t>
        </is>
      </c>
      <c r="H90" s="11" t="inlineStr">
        <is>
          <t>Ledgerline</t>
        </is>
      </c>
      <c r="I90" s="11" t="inlineStr">
        <is>
          <t>Payment Approver (&lt;= $25k)</t>
        </is>
      </c>
      <c r="J90" s="11" t="inlineStr">
        <is>
          <t>Y</t>
        </is>
      </c>
      <c r="K90" s="11" t="inlineStr">
        <is>
          <t>N</t>
        </is>
      </c>
      <c r="L90" s="13" t="n">
        <v>44802</v>
      </c>
      <c r="M90" s="13" t="n">
        <v>46203</v>
      </c>
      <c r="N90" s="12" t="inlineStr">
        <is>
          <t>Payment approvals</t>
        </is>
      </c>
      <c r="O90" s="11" t="inlineStr">
        <is>
          <t>Laura Brenneman</t>
        </is>
      </c>
      <c r="P90" s="13" t="n">
        <v>46213</v>
      </c>
      <c r="Q90" s="11" t="inlineStr">
        <is>
          <t>F-SOD</t>
        </is>
      </c>
      <c r="R90" s="11" t="inlineStr">
        <is>
          <t>Retain with exception</t>
        </is>
      </c>
      <c r="S90" s="11" t="inlineStr">
        <is>
          <t>AR-EX-17</t>
        </is>
      </c>
      <c r="T90" s="12" t="inlineStr">
        <is>
          <t>SoD conflict SOD-01 (paired entitlement)</t>
        </is>
      </c>
      <c r="U90" s="12" t="inlineStr">
        <is>
          <t>See ENT-088</t>
        </is>
      </c>
      <c r="V90" s="11" t="inlineStr">
        <is>
          <t>Laura Brenneman</t>
        </is>
      </c>
      <c r="W90" s="13" t="n">
        <v>46248</v>
      </c>
      <c r="X90" s="11" t="inlineStr">
        <is>
          <t>Risk Accepted</t>
        </is>
      </c>
      <c r="Y90" s="13" t="n">
        <v>46246</v>
      </c>
      <c r="Z90" s="11" t="inlineStr">
        <is>
          <t>EVID-060; EVID-015</t>
        </is>
      </c>
      <c r="AA90" s="11" t="inlineStr">
        <is>
          <t>FIND-007</t>
        </is>
      </c>
      <c r="AB90" s="11" t="inlineStr">
        <is>
          <t>AC-5</t>
        </is>
      </c>
      <c r="AC90" s="12" t="inlineStr"/>
      <c r="AD90">
        <f>IF(S90="",0,IF(COUNTIF(S$2:S90,S90&amp;"")=1,1,0))</f>
        <v/>
      </c>
    </row>
    <row r="91">
      <c r="A91" s="11" t="inlineStr">
        <is>
          <t>ENT-090</t>
        </is>
      </c>
      <c r="B91" s="11" t="inlineStr">
        <is>
          <t>dwhitlock</t>
        </is>
      </c>
      <c r="C91" s="11" t="inlineStr">
        <is>
          <t>Employee</t>
        </is>
      </c>
      <c r="D91" s="11" t="inlineStr">
        <is>
          <t>Finance</t>
        </is>
      </c>
      <c r="E91" s="11" t="inlineStr">
        <is>
          <t>AP Specialist</t>
        </is>
      </c>
      <c r="F91" s="11" t="inlineStr">
        <is>
          <t>Laura Brenneman</t>
        </is>
      </c>
      <c r="G91" s="11" t="inlineStr">
        <is>
          <t>Terminated</t>
        </is>
      </c>
      <c r="H91" s="11" t="inlineStr">
        <is>
          <t>Ledgerline</t>
        </is>
      </c>
      <c r="I91" s="11" t="inlineStr">
        <is>
          <t>AP Clerk</t>
        </is>
      </c>
      <c r="J91" s="11" t="inlineStr">
        <is>
          <t>N</t>
        </is>
      </c>
      <c r="K91" s="11" t="inlineStr">
        <is>
          <t>N</t>
        </is>
      </c>
      <c r="L91" s="13" t="n">
        <v>45040</v>
      </c>
      <c r="M91" s="13" t="n">
        <v>46163</v>
      </c>
      <c r="N91" s="12" t="inlineStr">
        <is>
          <t>Invoice entry and payment runs</t>
        </is>
      </c>
      <c r="O91" s="11" t="inlineStr">
        <is>
          <t>Laura Brenneman</t>
        </is>
      </c>
      <c r="P91" s="13" t="n">
        <v>46209</v>
      </c>
      <c r="Q91" s="11" t="inlineStr">
        <is>
          <t>F-TERM</t>
        </is>
      </c>
      <c r="R91" s="11" t="inlineStr">
        <is>
          <t>Revoke</t>
        </is>
      </c>
      <c r="S91" s="11" t="inlineStr">
        <is>
          <t>AR-EX-01</t>
        </is>
      </c>
      <c r="T91" s="12" t="inlineStr">
        <is>
          <t>Terminated employee (2026-05-22) retains Ledgerline AP Clerk role</t>
        </is>
      </c>
      <c r="U91" s="12" t="inlineStr">
        <is>
          <t>Remove Ledgerline role; confirm no transactions after termination</t>
        </is>
      </c>
      <c r="V91" s="11" t="inlineStr">
        <is>
          <t>Laura Brenneman</t>
        </is>
      </c>
      <c r="W91" s="13" t="n">
        <v>46210</v>
      </c>
      <c r="X91" s="11" t="inlineStr">
        <is>
          <t>Completed</t>
        </is>
      </c>
      <c r="Y91" s="13" t="n">
        <v>46209</v>
      </c>
      <c r="Z91" s="11" t="inlineStr">
        <is>
          <t>EVID-061</t>
        </is>
      </c>
      <c r="AA91" s="11" t="inlineStr">
        <is>
          <t>FIND-001</t>
        </is>
      </c>
      <c r="AB91" s="11" t="inlineStr">
        <is>
          <t>AC-2(3); PS-4</t>
        </is>
      </c>
      <c r="AC91" s="12" t="inlineStr">
        <is>
          <t>No Ledgerline transactions after 2026-05-21 (Controller verified)</t>
        </is>
      </c>
      <c r="AD91">
        <f>IF(S91="",0,IF(COUNTIF(S$2:S91,S91&amp;"")=1,1,0))</f>
        <v/>
      </c>
    </row>
    <row r="92">
      <c r="A92" s="11" t="inlineStr">
        <is>
          <t>ENT-091</t>
        </is>
      </c>
      <c r="B92" s="11" t="inlineStr">
        <is>
          <t>kbrandt</t>
        </is>
      </c>
      <c r="C92" s="11" t="inlineStr">
        <is>
          <t>Employee</t>
        </is>
      </c>
      <c r="D92" s="11" t="inlineStr">
        <is>
          <t>IT</t>
        </is>
      </c>
      <c r="E92" s="11" t="inlineStr">
        <is>
          <t>IT Manager</t>
        </is>
      </c>
      <c r="F92" s="11" t="inlineStr">
        <is>
          <t>Samir Haddad</t>
        </is>
      </c>
      <c r="G92" s="11" t="inlineStr">
        <is>
          <t>Active</t>
        </is>
      </c>
      <c r="H92" s="11" t="inlineStr">
        <is>
          <t>Ledgerline</t>
        </is>
      </c>
      <c r="I92" s="11" t="inlineStr">
        <is>
          <t>System Administrator (no transactional roles)</t>
        </is>
      </c>
      <c r="J92" s="11" t="inlineStr">
        <is>
          <t>Y</t>
        </is>
      </c>
      <c r="K92" s="11" t="inlineStr">
        <is>
          <t>N</t>
        </is>
      </c>
      <c r="L92" s="13" t="n">
        <v>44470</v>
      </c>
      <c r="M92" s="13" t="n">
        <v>46181</v>
      </c>
      <c r="N92" s="12" t="inlineStr">
        <is>
          <t>System configuration</t>
        </is>
      </c>
      <c r="O92" s="11" t="inlineStr">
        <is>
          <t>Laura Brenneman</t>
        </is>
      </c>
      <c r="P92" s="13" t="n">
        <v>46213</v>
      </c>
      <c r="Q92" s="11" t="inlineStr"/>
      <c r="R92" s="11" t="inlineStr">
        <is>
          <t>Retain</t>
        </is>
      </c>
      <c r="S92" s="11" t="inlineStr"/>
      <c r="T92" s="12" t="inlineStr">
        <is>
          <t>None</t>
        </is>
      </c>
      <c r="U92" s="12" t="inlineStr"/>
      <c r="V92" s="11" t="inlineStr"/>
      <c r="W92" s="13" t="n"/>
      <c r="X92" s="11" t="inlineStr">
        <is>
          <t>Completed</t>
        </is>
      </c>
      <c r="Y92" s="13" t="n">
        <v>46213</v>
      </c>
      <c r="Z92" s="11" t="inlineStr"/>
      <c r="AA92" s="11" t="inlineStr"/>
      <c r="AB92" s="11" t="inlineStr"/>
      <c r="AC92" s="12" t="inlineStr"/>
      <c r="AD92">
        <f>IF(S92="",0,IF(COUNTIF(S$2:S92,S92&amp;"")=1,1,0))</f>
        <v/>
      </c>
    </row>
    <row r="93">
      <c r="A93" s="11" t="inlineStr">
        <is>
          <t>ENT-092</t>
        </is>
      </c>
      <c r="B93" s="11" t="inlineStr">
        <is>
          <t>bkowalski</t>
        </is>
      </c>
      <c r="C93" s="11" t="inlineStr">
        <is>
          <t>Employee</t>
        </is>
      </c>
      <c r="D93" s="11" t="inlineStr">
        <is>
          <t>Finance</t>
        </is>
      </c>
      <c r="E93" s="11" t="inlineStr">
        <is>
          <t>Vendor Management Lead</t>
        </is>
      </c>
      <c r="F93" s="11" t="inlineStr">
        <is>
          <t>Raymond Okafor</t>
        </is>
      </c>
      <c r="G93" s="11" t="inlineStr">
        <is>
          <t>Active</t>
        </is>
      </c>
      <c r="H93" s="11" t="inlineStr">
        <is>
          <t>Ledgerline</t>
        </is>
      </c>
      <c r="I93" s="11" t="inlineStr">
        <is>
          <t>Vendor Master View</t>
        </is>
      </c>
      <c r="J93" s="11" t="inlineStr">
        <is>
          <t>N</t>
        </is>
      </c>
      <c r="K93" s="11" t="inlineStr">
        <is>
          <t>N</t>
        </is>
      </c>
      <c r="L93" s="13" t="n">
        <v>45187</v>
      </c>
      <c r="M93" s="13" t="n">
        <v>46202</v>
      </c>
      <c r="N93" s="12" t="inlineStr">
        <is>
          <t>Vendor due diligence</t>
        </is>
      </c>
      <c r="O93" s="11" t="inlineStr">
        <is>
          <t>Laura Brenneman</t>
        </is>
      </c>
      <c r="P93" s="13" t="n">
        <v>46213</v>
      </c>
      <c r="Q93" s="11" t="inlineStr"/>
      <c r="R93" s="11" t="inlineStr">
        <is>
          <t>Retain</t>
        </is>
      </c>
      <c r="S93" s="11" t="inlineStr"/>
      <c r="T93" s="12" t="inlineStr">
        <is>
          <t>None</t>
        </is>
      </c>
      <c r="U93" s="12" t="inlineStr"/>
      <c r="V93" s="11" t="inlineStr"/>
      <c r="W93" s="13" t="n"/>
      <c r="X93" s="11" t="inlineStr">
        <is>
          <t>Completed</t>
        </is>
      </c>
      <c r="Y93" s="13" t="n">
        <v>46213</v>
      </c>
      <c r="Z93" s="11" t="inlineStr"/>
      <c r="AA93" s="11" t="inlineStr"/>
      <c r="AB93" s="11" t="inlineStr"/>
      <c r="AC93" s="12" t="inlineStr"/>
      <c r="AD93">
        <f>IF(S93="",0,IF(COUNTIF(S$2:S93,S93&amp;"")=1,1,0))</f>
        <v/>
      </c>
    </row>
    <row r="94">
      <c r="A94" s="11" t="inlineStr">
        <is>
          <t>ENT-093</t>
        </is>
      </c>
      <c r="B94" s="11" t="inlineStr">
        <is>
          <t>ocastillo</t>
        </is>
      </c>
      <c r="C94" s="11" t="inlineStr">
        <is>
          <t>Employee</t>
        </is>
      </c>
      <c r="D94" s="11" t="inlineStr">
        <is>
          <t>Security</t>
        </is>
      </c>
      <c r="E94" s="11" t="inlineStr">
        <is>
          <t>Security Engineer</t>
        </is>
      </c>
      <c r="F94" s="11" t="inlineStr">
        <is>
          <t>Alicia Moreno</t>
        </is>
      </c>
      <c r="G94" s="11" t="inlineStr">
        <is>
          <t>Active</t>
        </is>
      </c>
      <c r="H94" s="11" t="inlineStr">
        <is>
          <t>Security tooling (SIEM)</t>
        </is>
      </c>
      <c r="I94" s="11" t="inlineStr">
        <is>
          <t>SIEM Administrator</t>
        </is>
      </c>
      <c r="J94" s="11" t="inlineStr">
        <is>
          <t>Y</t>
        </is>
      </c>
      <c r="K94" s="11" t="inlineStr">
        <is>
          <t>N</t>
        </is>
      </c>
      <c r="L94" s="13" t="n">
        <v>44816</v>
      </c>
      <c r="M94" s="13" t="n">
        <v>46203</v>
      </c>
      <c r="N94" s="12" t="inlineStr">
        <is>
          <t>SIEM owner</t>
        </is>
      </c>
      <c r="O94" s="11" t="inlineStr">
        <is>
          <t>Alicia Moreno</t>
        </is>
      </c>
      <c r="P94" s="13" t="n">
        <v>46213</v>
      </c>
      <c r="Q94" s="11" t="inlineStr"/>
      <c r="R94" s="11" t="inlineStr">
        <is>
          <t>Retain</t>
        </is>
      </c>
      <c r="S94" s="11" t="inlineStr"/>
      <c r="T94" s="12" t="inlineStr">
        <is>
          <t>None</t>
        </is>
      </c>
      <c r="U94" s="12" t="inlineStr"/>
      <c r="V94" s="11" t="inlineStr"/>
      <c r="W94" s="13" t="n"/>
      <c r="X94" s="11" t="inlineStr">
        <is>
          <t>Completed</t>
        </is>
      </c>
      <c r="Y94" s="13" t="n">
        <v>46213</v>
      </c>
      <c r="Z94" s="11" t="inlineStr"/>
      <c r="AA94" s="11" t="inlineStr"/>
      <c r="AB94" s="11" t="inlineStr"/>
      <c r="AC94" s="12" t="inlineStr"/>
      <c r="AD94">
        <f>IF(S94="",0,IF(COUNTIF(S$2:S94,S94&amp;"")=1,1,0))</f>
        <v/>
      </c>
    </row>
    <row r="95">
      <c r="A95" s="11" t="inlineStr">
        <is>
          <t>ENT-094</t>
        </is>
      </c>
      <c r="B95" s="11" t="inlineStr">
        <is>
          <t>nrahman</t>
        </is>
      </c>
      <c r="C95" s="11" t="inlineStr">
        <is>
          <t>Employee</t>
        </is>
      </c>
      <c r="D95" s="11" t="inlineStr">
        <is>
          <t>Security</t>
        </is>
      </c>
      <c r="E95" s="11" t="inlineStr">
        <is>
          <t>IAM Engineer</t>
        </is>
      </c>
      <c r="F95" s="11" t="inlineStr">
        <is>
          <t>Alicia Moreno</t>
        </is>
      </c>
      <c r="G95" s="11" t="inlineStr">
        <is>
          <t>Active</t>
        </is>
      </c>
      <c r="H95" s="11" t="inlineStr">
        <is>
          <t>Security tooling (SIEM)</t>
        </is>
      </c>
      <c r="I95" s="11" t="inlineStr">
        <is>
          <t>SIEM Analyst</t>
        </is>
      </c>
      <c r="J95" s="11" t="inlineStr">
        <is>
          <t>N</t>
        </is>
      </c>
      <c r="K95" s="11" t="inlineStr">
        <is>
          <t>N</t>
        </is>
      </c>
      <c r="L95" s="13" t="n">
        <v>44713</v>
      </c>
      <c r="M95" s="13" t="n">
        <v>46203</v>
      </c>
      <c r="N95" s="12" t="inlineStr">
        <is>
          <t>Identity threat investigations</t>
        </is>
      </c>
      <c r="O95" s="11" t="inlineStr">
        <is>
          <t>Alicia Moreno</t>
        </is>
      </c>
      <c r="P95" s="13" t="n">
        <v>46213</v>
      </c>
      <c r="Q95" s="11" t="inlineStr"/>
      <c r="R95" s="11" t="inlineStr">
        <is>
          <t>Retain</t>
        </is>
      </c>
      <c r="S95" s="11" t="inlineStr"/>
      <c r="T95" s="12" t="inlineStr">
        <is>
          <t>None</t>
        </is>
      </c>
      <c r="U95" s="12" t="inlineStr"/>
      <c r="V95" s="11" t="inlineStr"/>
      <c r="W95" s="13" t="n"/>
      <c r="X95" s="11" t="inlineStr">
        <is>
          <t>Completed</t>
        </is>
      </c>
      <c r="Y95" s="13" t="n">
        <v>46213</v>
      </c>
      <c r="Z95" s="11" t="inlineStr"/>
      <c r="AA95" s="11" t="inlineStr"/>
      <c r="AB95" s="11" t="inlineStr"/>
      <c r="AC95" s="12" t="inlineStr"/>
      <c r="AD95">
        <f>IF(S95="",0,IF(COUNTIF(S$2:S95,S95&amp;"")=1,1,0))</f>
        <v/>
      </c>
    </row>
    <row r="96">
      <c r="A96" s="11" t="inlineStr">
        <is>
          <t>ENT-095</t>
        </is>
      </c>
      <c r="B96" s="11" t="inlineStr">
        <is>
          <t>amoreno</t>
        </is>
      </c>
      <c r="C96" s="11" t="inlineStr">
        <is>
          <t>Employee</t>
        </is>
      </c>
      <c r="D96" s="11" t="inlineStr">
        <is>
          <t>Security</t>
        </is>
      </c>
      <c r="E96" s="11" t="inlineStr">
        <is>
          <t>Chief Information Security Officer</t>
        </is>
      </c>
      <c r="F96" s="11" t="inlineStr">
        <is>
          <t>Samir Haddad</t>
        </is>
      </c>
      <c r="G96" s="11" t="inlineStr">
        <is>
          <t>Active</t>
        </is>
      </c>
      <c r="H96" s="11" t="inlineStr">
        <is>
          <t>Security tooling (SIEM)</t>
        </is>
      </c>
      <c r="I96" s="11" t="inlineStr">
        <is>
          <t>SIEM Read-only</t>
        </is>
      </c>
      <c r="J96" s="11" t="inlineStr">
        <is>
          <t>N</t>
        </is>
      </c>
      <c r="K96" s="11" t="inlineStr">
        <is>
          <t>N</t>
        </is>
      </c>
      <c r="L96" s="13" t="n">
        <v>44263</v>
      </c>
      <c r="M96" s="13" t="n">
        <v>46195</v>
      </c>
      <c r="N96" s="12" t="inlineStr">
        <is>
          <t>Oversight</t>
        </is>
      </c>
      <c r="O96" s="11" t="inlineStr">
        <is>
          <t>Samir Haddad</t>
        </is>
      </c>
      <c r="P96" s="13" t="n">
        <v>46213</v>
      </c>
      <c r="Q96" s="11" t="inlineStr"/>
      <c r="R96" s="11" t="inlineStr">
        <is>
          <t>Retain</t>
        </is>
      </c>
      <c r="S96" s="11" t="inlineStr"/>
      <c r="T96" s="12" t="inlineStr">
        <is>
          <t>None</t>
        </is>
      </c>
      <c r="U96" s="12" t="inlineStr"/>
      <c r="V96" s="11" t="inlineStr"/>
      <c r="W96" s="13" t="n"/>
      <c r="X96" s="11" t="inlineStr">
        <is>
          <t>Completed</t>
        </is>
      </c>
      <c r="Y96" s="13" t="n">
        <v>46213</v>
      </c>
      <c r="Z96" s="11" t="inlineStr"/>
      <c r="AA96" s="11" t="inlineStr"/>
      <c r="AB96" s="11" t="inlineStr"/>
      <c r="AC96" s="12" t="inlineStr"/>
      <c r="AD96">
        <f>IF(S96="",0,IF(COUNTIF(S$2:S96,S96&amp;"")=1,1,0))</f>
        <v/>
      </c>
    </row>
    <row r="97">
      <c r="A97" s="11" t="inlineStr">
        <is>
          <t>ENT-096</t>
        </is>
      </c>
      <c r="B97" s="11" t="inlineStr">
        <is>
          <t>mdr-ironpeak</t>
        </is>
      </c>
      <c r="C97" s="11" t="inlineStr">
        <is>
          <t>Vendor group (named SSO)</t>
        </is>
      </c>
      <c r="D97" s="11" t="inlineStr"/>
      <c r="E97" s="11" t="inlineStr">
        <is>
          <t>Vendor / non-human</t>
        </is>
      </c>
      <c r="F97" s="11" t="inlineStr"/>
      <c r="G97" s="11" t="inlineStr">
        <is>
          <t>n/a (non-human)</t>
        </is>
      </c>
      <c r="H97" s="11" t="inlineStr">
        <is>
          <t>Security tooling (SIEM)</t>
        </is>
      </c>
      <c r="I97" s="11" t="inlineStr">
        <is>
          <t>SIEM Analyst (6 named MDR analysts via SAML)</t>
        </is>
      </c>
      <c r="J97" s="11" t="inlineStr">
        <is>
          <t>N</t>
        </is>
      </c>
      <c r="K97" s="11" t="inlineStr">
        <is>
          <t>N</t>
        </is>
      </c>
      <c r="L97" s="13" t="n">
        <v>45663</v>
      </c>
      <c r="M97" s="13" t="n">
        <v>46203</v>
      </c>
      <c r="N97" s="12" t="inlineStr">
        <is>
          <t>24x7 MDR monitoring (Ironpeak MSA 2025)</t>
        </is>
      </c>
      <c r="O97" s="11" t="inlineStr">
        <is>
          <t>Alicia Moreno</t>
        </is>
      </c>
      <c r="P97" s="13" t="n">
        <v>46210</v>
      </c>
      <c r="Q97" s="11" t="inlineStr"/>
      <c r="R97" s="11" t="inlineStr">
        <is>
          <t>Retain</t>
        </is>
      </c>
      <c r="S97" s="11" t="inlineStr"/>
      <c r="T97" s="12" t="inlineStr">
        <is>
          <t>None</t>
        </is>
      </c>
      <c r="U97" s="12" t="inlineStr"/>
      <c r="V97" s="11" t="inlineStr"/>
      <c r="W97" s="13" t="n"/>
      <c r="X97" s="11" t="inlineStr">
        <is>
          <t>Completed</t>
        </is>
      </c>
      <c r="Y97" s="13" t="n">
        <v>46210</v>
      </c>
      <c r="Z97" s="11" t="inlineStr"/>
      <c r="AA97" s="11" t="inlineStr"/>
      <c r="AB97" s="11" t="inlineStr"/>
      <c r="AC97" s="12" t="inlineStr">
        <is>
          <t>Named federated MDR accounts (compare the shared EDR login ENT-099)</t>
        </is>
      </c>
      <c r="AD97">
        <f>IF(S97="",0,IF(COUNTIF(S$2:S97,S97&amp;"")=1,1,0))</f>
        <v/>
      </c>
    </row>
    <row r="98">
      <c r="A98" s="11" t="inlineStr">
        <is>
          <t>ENT-097</t>
        </is>
      </c>
      <c r="B98" s="11" t="inlineStr">
        <is>
          <t>ocastillo</t>
        </is>
      </c>
      <c r="C98" s="11" t="inlineStr">
        <is>
          <t>Employee</t>
        </is>
      </c>
      <c r="D98" s="11" t="inlineStr">
        <is>
          <t>Security</t>
        </is>
      </c>
      <c r="E98" s="11" t="inlineStr">
        <is>
          <t>Security Engineer</t>
        </is>
      </c>
      <c r="F98" s="11" t="inlineStr">
        <is>
          <t>Alicia Moreno</t>
        </is>
      </c>
      <c r="G98" s="11" t="inlineStr">
        <is>
          <t>Active</t>
        </is>
      </c>
      <c r="H98" s="11" t="inlineStr">
        <is>
          <t>Security tooling (EDR)</t>
        </is>
      </c>
      <c r="I98" s="11" t="inlineStr">
        <is>
          <t>EDR Administrator</t>
        </is>
      </c>
      <c r="J98" s="11" t="inlineStr">
        <is>
          <t>Y</t>
        </is>
      </c>
      <c r="K98" s="11" t="inlineStr">
        <is>
          <t>N</t>
        </is>
      </c>
      <c r="L98" s="13" t="n">
        <v>44816</v>
      </c>
      <c r="M98" s="13" t="n">
        <v>46203</v>
      </c>
      <c r="N98" s="12" t="inlineStr">
        <is>
          <t>EDR owner</t>
        </is>
      </c>
      <c r="O98" s="11" t="inlineStr">
        <is>
          <t>Alicia Moreno</t>
        </is>
      </c>
      <c r="P98" s="13" t="n">
        <v>46213</v>
      </c>
      <c r="Q98" s="11" t="inlineStr"/>
      <c r="R98" s="11" t="inlineStr">
        <is>
          <t>Retain</t>
        </is>
      </c>
      <c r="S98" s="11" t="inlineStr"/>
      <c r="T98" s="12" t="inlineStr">
        <is>
          <t>None</t>
        </is>
      </c>
      <c r="U98" s="12" t="inlineStr"/>
      <c r="V98" s="11" t="inlineStr"/>
      <c r="W98" s="13" t="n"/>
      <c r="X98" s="11" t="inlineStr">
        <is>
          <t>Completed</t>
        </is>
      </c>
      <c r="Y98" s="13" t="n">
        <v>46213</v>
      </c>
      <c r="Z98" s="11" t="inlineStr"/>
      <c r="AA98" s="11" t="inlineStr"/>
      <c r="AB98" s="11" t="inlineStr"/>
      <c r="AC98" s="12" t="inlineStr"/>
      <c r="AD98">
        <f>IF(S98="",0,IF(COUNTIF(S$2:S98,S98&amp;"")=1,1,0))</f>
        <v/>
      </c>
    </row>
    <row r="99">
      <c r="A99" s="11" t="inlineStr">
        <is>
          <t>ENT-098</t>
        </is>
      </c>
      <c r="B99" s="11" t="inlineStr">
        <is>
          <t>kbrandt</t>
        </is>
      </c>
      <c r="C99" s="11" t="inlineStr">
        <is>
          <t>Employee</t>
        </is>
      </c>
      <c r="D99" s="11" t="inlineStr">
        <is>
          <t>IT</t>
        </is>
      </c>
      <c r="E99" s="11" t="inlineStr">
        <is>
          <t>IT Manager</t>
        </is>
      </c>
      <c r="F99" s="11" t="inlineStr">
        <is>
          <t>Samir Haddad</t>
        </is>
      </c>
      <c r="G99" s="11" t="inlineStr">
        <is>
          <t>Active</t>
        </is>
      </c>
      <c r="H99" s="11" t="inlineStr">
        <is>
          <t>Security tooling (EDR)</t>
        </is>
      </c>
      <c r="I99" s="11" t="inlineStr">
        <is>
          <t>EDR Administrator</t>
        </is>
      </c>
      <c r="J99" s="11" t="inlineStr">
        <is>
          <t>Y</t>
        </is>
      </c>
      <c r="K99" s="11" t="inlineStr">
        <is>
          <t>N</t>
        </is>
      </c>
      <c r="L99" s="13" t="n">
        <v>44228</v>
      </c>
      <c r="M99" s="13" t="n">
        <v>46202</v>
      </c>
      <c r="N99" s="12" t="inlineStr">
        <is>
          <t>Endpoint policy management</t>
        </is>
      </c>
      <c r="O99" s="11" t="inlineStr">
        <is>
          <t>Alicia Moreno</t>
        </is>
      </c>
      <c r="P99" s="13" t="n">
        <v>46213</v>
      </c>
      <c r="Q99" s="11" t="inlineStr"/>
      <c r="R99" s="11" t="inlineStr">
        <is>
          <t>Retain</t>
        </is>
      </c>
      <c r="S99" s="11" t="inlineStr"/>
      <c r="T99" s="12" t="inlineStr">
        <is>
          <t>None</t>
        </is>
      </c>
      <c r="U99" s="12" t="inlineStr"/>
      <c r="V99" s="11" t="inlineStr"/>
      <c r="W99" s="13" t="n"/>
      <c r="X99" s="11" t="inlineStr">
        <is>
          <t>Completed</t>
        </is>
      </c>
      <c r="Y99" s="13" t="n">
        <v>46213</v>
      </c>
      <c r="Z99" s="11" t="inlineStr"/>
      <c r="AA99" s="11" t="inlineStr"/>
      <c r="AB99" s="11" t="inlineStr"/>
      <c r="AC99" s="12" t="inlineStr"/>
      <c r="AD99">
        <f>IF(S99="",0,IF(COUNTIF(S$2:S99,S99&amp;"")=1,1,0))</f>
        <v/>
      </c>
    </row>
    <row r="100">
      <c r="A100" s="11" t="inlineStr">
        <is>
          <t>ENT-099</t>
        </is>
      </c>
      <c r="B100" s="11" t="inlineStr">
        <is>
          <t>ironpeak-soc</t>
        </is>
      </c>
      <c r="C100" s="11" t="inlineStr">
        <is>
          <t>Shared</t>
        </is>
      </c>
      <c r="D100" s="11" t="inlineStr">
        <is>
          <t>Security (owner)</t>
        </is>
      </c>
      <c r="E100" s="11" t="inlineStr">
        <is>
          <t>MDR analyst containment actions</t>
        </is>
      </c>
      <c r="F100" s="11" t="inlineStr">
        <is>
          <t>Owen Castillo (owner)</t>
        </is>
      </c>
      <c r="G100" s="11" t="inlineStr">
        <is>
          <t>n/a (non-human)</t>
        </is>
      </c>
      <c r="H100" s="11" t="inlineStr">
        <is>
          <t>Security tooling (EDR)</t>
        </is>
      </c>
      <c r="I100" s="11" t="inlineStr">
        <is>
          <t>EDR Analyst (shared vendor login)</t>
        </is>
      </c>
      <c r="J100" s="11" t="inlineStr">
        <is>
          <t>Y</t>
        </is>
      </c>
      <c r="K100" s="11" t="inlineStr">
        <is>
          <t>N</t>
        </is>
      </c>
      <c r="L100" s="13" t="n">
        <v>45663</v>
      </c>
      <c r="M100" s="13" t="n">
        <v>46203</v>
      </c>
      <c r="N100" s="12" t="inlineStr">
        <is>
          <t>MDR containment actions</t>
        </is>
      </c>
      <c r="O100" s="11" t="inlineStr">
        <is>
          <t>Alicia Moreno</t>
        </is>
      </c>
      <c r="P100" s="13" t="n">
        <v>46210</v>
      </c>
      <c r="Q100" s="11" t="inlineStr">
        <is>
          <t>F-SHARED</t>
        </is>
      </c>
      <c r="R100" s="11" t="inlineStr">
        <is>
          <t>Modify</t>
        </is>
      </c>
      <c r="S100" s="11" t="inlineStr">
        <is>
          <t>AR-EX-20</t>
        </is>
      </c>
      <c r="T100" s="12" t="inlineStr">
        <is>
          <t>Shared vendor login to EDR console; containment actions not attributable to an individual</t>
        </is>
      </c>
      <c r="U100" s="12" t="inlineStr">
        <is>
          <t>Replace with named federated accounts for each MDR analyst; disable the shared login</t>
        </is>
      </c>
      <c r="V100" s="11" t="inlineStr">
        <is>
          <t>Owen Castillo</t>
        </is>
      </c>
      <c r="W100" s="13" t="n">
        <v>46269</v>
      </c>
      <c r="X100" s="11" t="inlineStr">
        <is>
          <t>Completed</t>
        </is>
      </c>
      <c r="Y100" s="13" t="n">
        <v>46265</v>
      </c>
      <c r="Z100" s="11" t="inlineStr">
        <is>
          <t>EVID-065</t>
        </is>
      </c>
      <c r="AA100" s="11" t="inlineStr">
        <is>
          <t>FIND-005</t>
        </is>
      </c>
      <c r="AB100" s="11" t="inlineStr">
        <is>
          <t>AC-2; IA-2</t>
        </is>
      </c>
      <c r="AC100" s="12" t="inlineStr">
        <is>
          <t>Contrast ENT-096: the same vendor already uses named SSO accounts in the SIEM</t>
        </is>
      </c>
      <c r="AD100">
        <f>IF(S100="",0,IF(COUNTIF(S$2:S100,S100&amp;"")=1,1,0))</f>
        <v/>
      </c>
    </row>
    <row r="101">
      <c r="A101" s="11" t="inlineStr">
        <is>
          <t>ENT-100</t>
        </is>
      </c>
      <c r="B101" s="11" t="inlineStr">
        <is>
          <t>lporter</t>
        </is>
      </c>
      <c r="C101" s="11" t="inlineStr">
        <is>
          <t>Employee</t>
        </is>
      </c>
      <c r="D101" s="11" t="inlineStr">
        <is>
          <t>Data Engineering</t>
        </is>
      </c>
      <c r="E101" s="11" t="inlineStr">
        <is>
          <t>Data Engineering Manager</t>
        </is>
      </c>
      <c r="F101" s="11" t="inlineStr">
        <is>
          <t>Samir Haddad</t>
        </is>
      </c>
      <c r="G101" s="11" t="inlineStr">
        <is>
          <t>Active</t>
        </is>
      </c>
      <c r="H101" s="11" t="inlineStr">
        <is>
          <t>Quarrystone portal</t>
        </is>
      </c>
      <c r="I101" s="11" t="inlineStr">
        <is>
          <t>Portal Administrator</t>
        </is>
      </c>
      <c r="J101" s="11" t="inlineStr">
        <is>
          <t>Y</t>
        </is>
      </c>
      <c r="K101" s="11" t="inlineStr">
        <is>
          <t>Y</t>
        </is>
      </c>
      <c r="L101" s="13" t="n">
        <v>44986</v>
      </c>
      <c r="M101" s="13" t="n">
        <v>46199</v>
      </c>
      <c r="N101" s="12" t="inlineStr">
        <is>
          <t>Vendor relationship technical owner</t>
        </is>
      </c>
      <c r="O101" s="11" t="inlineStr">
        <is>
          <t>Miriam Castell</t>
        </is>
      </c>
      <c r="P101" s="13" t="n">
        <v>46213</v>
      </c>
      <c r="Q101" s="11" t="inlineStr"/>
      <c r="R101" s="11" t="inlineStr">
        <is>
          <t>Retain</t>
        </is>
      </c>
      <c r="S101" s="11" t="inlineStr"/>
      <c r="T101" s="12" t="inlineStr">
        <is>
          <t>None</t>
        </is>
      </c>
      <c r="U101" s="12" t="inlineStr"/>
      <c r="V101" s="11" t="inlineStr"/>
      <c r="W101" s="13" t="n"/>
      <c r="X101" s="11" t="inlineStr">
        <is>
          <t>Completed</t>
        </is>
      </c>
      <c r="Y101" s="13" t="n">
        <v>46213</v>
      </c>
      <c r="Z101" s="11" t="inlineStr"/>
      <c r="AA101" s="11" t="inlineStr"/>
      <c r="AB101" s="11" t="inlineStr"/>
      <c r="AC101" s="12" t="inlineStr"/>
      <c r="AD101">
        <f>IF(S101="",0,IF(COUNTIF(S$2:S101,S101&amp;"")=1,1,0))</f>
        <v/>
      </c>
    </row>
    <row r="102">
      <c r="A102" s="11" t="inlineStr">
        <is>
          <t>ENT-101</t>
        </is>
      </c>
      <c r="B102" s="11" t="inlineStr">
        <is>
          <t>mcastell</t>
        </is>
      </c>
      <c r="C102" s="11" t="inlineStr">
        <is>
          <t>Employee</t>
        </is>
      </c>
      <c r="D102" s="11" t="inlineStr">
        <is>
          <t>Clinical Analytics</t>
        </is>
      </c>
      <c r="E102" s="11" t="inlineStr">
        <is>
          <t>VP Clinical Analytics</t>
        </is>
      </c>
      <c r="F102" s="11" t="inlineStr">
        <is>
          <t>Elena Marsh</t>
        </is>
      </c>
      <c r="G102" s="11" t="inlineStr">
        <is>
          <t>Active</t>
        </is>
      </c>
      <c r="H102" s="11" t="inlineStr">
        <is>
          <t>Quarrystone portal</t>
        </is>
      </c>
      <c r="I102" s="11" t="inlineStr">
        <is>
          <t>Viewer</t>
        </is>
      </c>
      <c r="J102" s="11" t="inlineStr">
        <is>
          <t>N</t>
        </is>
      </c>
      <c r="K102" s="11" t="inlineStr">
        <is>
          <t>Y</t>
        </is>
      </c>
      <c r="L102" s="13" t="n">
        <v>44986</v>
      </c>
      <c r="M102" s="13" t="n">
        <v>46183</v>
      </c>
      <c r="N102" s="12" t="inlineStr">
        <is>
          <t>Business owner dashboards</t>
        </is>
      </c>
      <c r="O102" s="11" t="inlineStr">
        <is>
          <t>Elena Marsh</t>
        </is>
      </c>
      <c r="P102" s="13" t="n">
        <v>46213</v>
      </c>
      <c r="Q102" s="11" t="inlineStr"/>
      <c r="R102" s="11" t="inlineStr">
        <is>
          <t>Retain</t>
        </is>
      </c>
      <c r="S102" s="11" t="inlineStr"/>
      <c r="T102" s="12" t="inlineStr">
        <is>
          <t>None</t>
        </is>
      </c>
      <c r="U102" s="12" t="inlineStr"/>
      <c r="V102" s="11" t="inlineStr"/>
      <c r="W102" s="13" t="n"/>
      <c r="X102" s="11" t="inlineStr">
        <is>
          <t>Completed</t>
        </is>
      </c>
      <c r="Y102" s="13" t="n">
        <v>46213</v>
      </c>
      <c r="Z102" s="11" t="inlineStr"/>
      <c r="AA102" s="11" t="inlineStr"/>
      <c r="AB102" s="11" t="inlineStr"/>
      <c r="AC102" s="12" t="inlineStr"/>
      <c r="AD102">
        <f>IF(S102="",0,IF(COUNTIF(S$2:S102,S102&amp;"")=1,1,0))</f>
        <v/>
      </c>
    </row>
    <row r="103">
      <c r="A103" s="11" t="inlineStr">
        <is>
          <t>ENT-102</t>
        </is>
      </c>
      <c r="B103" s="11" t="inlineStr">
        <is>
          <t>bnguyen</t>
        </is>
      </c>
      <c r="C103" s="11" t="inlineStr">
        <is>
          <t>Employee</t>
        </is>
      </c>
      <c r="D103" s="11" t="inlineStr">
        <is>
          <t>Data Engineering</t>
        </is>
      </c>
      <c r="E103" s="11" t="inlineStr">
        <is>
          <t>Data Engineer</t>
        </is>
      </c>
      <c r="F103" s="11" t="inlineStr">
        <is>
          <t>Liam Porter</t>
        </is>
      </c>
      <c r="G103" s="11" t="inlineStr">
        <is>
          <t>Active</t>
        </is>
      </c>
      <c r="H103" s="11" t="inlineStr">
        <is>
          <t>Quarrystone portal</t>
        </is>
      </c>
      <c r="I103" s="11" t="inlineStr">
        <is>
          <t>Analyst</t>
        </is>
      </c>
      <c r="J103" s="11" t="inlineStr">
        <is>
          <t>N</t>
        </is>
      </c>
      <c r="K103" s="11" t="inlineStr">
        <is>
          <t>Y</t>
        </is>
      </c>
      <c r="L103" s="13" t="n">
        <v>45028</v>
      </c>
      <c r="M103" s="13" t="n">
        <v>46197</v>
      </c>
      <c r="N103" s="12" t="inlineStr">
        <is>
          <t>Score validation</t>
        </is>
      </c>
      <c r="O103" s="11" t="inlineStr">
        <is>
          <t>Miriam Castell</t>
        </is>
      </c>
      <c r="P103" s="13" t="n">
        <v>46213</v>
      </c>
      <c r="Q103" s="11" t="inlineStr"/>
      <c r="R103" s="11" t="inlineStr">
        <is>
          <t>Retain</t>
        </is>
      </c>
      <c r="S103" s="11" t="inlineStr"/>
      <c r="T103" s="12" t="inlineStr">
        <is>
          <t>None</t>
        </is>
      </c>
      <c r="U103" s="12" t="inlineStr"/>
      <c r="V103" s="11" t="inlineStr"/>
      <c r="W103" s="13" t="n"/>
      <c r="X103" s="11" t="inlineStr">
        <is>
          <t>Completed</t>
        </is>
      </c>
      <c r="Y103" s="13" t="n">
        <v>46213</v>
      </c>
      <c r="Z103" s="11" t="inlineStr"/>
      <c r="AA103" s="11" t="inlineStr"/>
      <c r="AB103" s="11" t="inlineStr"/>
      <c r="AC103" s="12" t="inlineStr"/>
      <c r="AD103">
        <f>IF(S103="",0,IF(COUNTIF(S$2:S103,S103&amp;"")=1,1,0))</f>
        <v/>
      </c>
    </row>
    <row r="104">
      <c r="A104" s="11" t="inlineStr">
        <is>
          <t>ENT-103</t>
        </is>
      </c>
      <c r="B104" s="11" t="inlineStr">
        <is>
          <t>gholloway</t>
        </is>
      </c>
      <c r="C104" s="11" t="inlineStr">
        <is>
          <t>Employee</t>
        </is>
      </c>
      <c r="D104" s="11" t="inlineStr">
        <is>
          <t>Clinical Analytics</t>
        </is>
      </c>
      <c r="E104" s="11" t="inlineStr">
        <is>
          <t>Clinical Analytics Manager</t>
        </is>
      </c>
      <c r="F104" s="11" t="inlineStr">
        <is>
          <t>Miriam Castell</t>
        </is>
      </c>
      <c r="G104" s="11" t="inlineStr">
        <is>
          <t>Active</t>
        </is>
      </c>
      <c r="H104" s="11" t="inlineStr">
        <is>
          <t>Quarrystone portal</t>
        </is>
      </c>
      <c r="I104" s="11" t="inlineStr">
        <is>
          <t>Analyst</t>
        </is>
      </c>
      <c r="J104" s="11" t="inlineStr">
        <is>
          <t>N</t>
        </is>
      </c>
      <c r="K104" s="11" t="inlineStr">
        <is>
          <t>Y</t>
        </is>
      </c>
      <c r="L104" s="13" t="n">
        <v>44986</v>
      </c>
      <c r="M104" s="13" t="n">
        <v>46203</v>
      </c>
      <c r="N104" s="12" t="inlineStr">
        <is>
          <t>Care-gap analysis</t>
        </is>
      </c>
      <c r="O104" s="11" t="inlineStr">
        <is>
          <t>Miriam Castell</t>
        </is>
      </c>
      <c r="P104" s="13" t="n">
        <v>46213</v>
      </c>
      <c r="Q104" s="11" t="inlineStr"/>
      <c r="R104" s="11" t="inlineStr">
        <is>
          <t>Retain</t>
        </is>
      </c>
      <c r="S104" s="11" t="inlineStr"/>
      <c r="T104" s="12" t="inlineStr">
        <is>
          <t>None</t>
        </is>
      </c>
      <c r="U104" s="12" t="inlineStr"/>
      <c r="V104" s="11" t="inlineStr"/>
      <c r="W104" s="13" t="n"/>
      <c r="X104" s="11" t="inlineStr">
        <is>
          <t>Completed</t>
        </is>
      </c>
      <c r="Y104" s="13" t="n">
        <v>46213</v>
      </c>
      <c r="Z104" s="11" t="inlineStr"/>
      <c r="AA104" s="11" t="inlineStr"/>
      <c r="AB104" s="11" t="inlineStr"/>
      <c r="AC104" s="12" t="inlineStr"/>
      <c r="AD104">
        <f>IF(S104="",0,IF(COUNTIF(S$2:S104,S104&amp;"")=1,1,0))</f>
        <v/>
      </c>
    </row>
    <row r="105">
      <c r="A105" s="11" t="inlineStr">
        <is>
          <t>ENT-104</t>
        </is>
      </c>
      <c r="B105" s="11" t="inlineStr">
        <is>
          <t>rdiaz</t>
        </is>
      </c>
      <c r="C105" s="11" t="inlineStr">
        <is>
          <t>Employee</t>
        </is>
      </c>
      <c r="D105" s="11" t="inlineStr">
        <is>
          <t>Clinical Analytics</t>
        </is>
      </c>
      <c r="E105" s="11" t="inlineStr">
        <is>
          <t>Care Quality Analyst</t>
        </is>
      </c>
      <c r="F105" s="11" t="inlineStr">
        <is>
          <t>Greg Holloway</t>
        </is>
      </c>
      <c r="G105" s="11" t="inlineStr">
        <is>
          <t>Active</t>
        </is>
      </c>
      <c r="H105" s="11" t="inlineStr">
        <is>
          <t>Quarrystone portal</t>
        </is>
      </c>
      <c r="I105" s="11" t="inlineStr">
        <is>
          <t>Analyst</t>
        </is>
      </c>
      <c r="J105" s="11" t="inlineStr">
        <is>
          <t>N</t>
        </is>
      </c>
      <c r="K105" s="11" t="inlineStr">
        <is>
          <t>Y</t>
        </is>
      </c>
      <c r="L105" s="13" t="n">
        <v>44970</v>
      </c>
      <c r="M105" s="13" t="n">
        <v>46202</v>
      </c>
      <c r="N105" s="12" t="inlineStr">
        <is>
          <t>Care-gap analysis</t>
        </is>
      </c>
      <c r="O105" s="11" t="inlineStr">
        <is>
          <t>Miriam Castell</t>
        </is>
      </c>
      <c r="P105" s="13" t="n">
        <v>46213</v>
      </c>
      <c r="Q105" s="11" t="inlineStr"/>
      <c r="R105" s="11" t="inlineStr">
        <is>
          <t>Retain</t>
        </is>
      </c>
      <c r="S105" s="11" t="inlineStr"/>
      <c r="T105" s="12" t="inlineStr">
        <is>
          <t>None</t>
        </is>
      </c>
      <c r="U105" s="12" t="inlineStr"/>
      <c r="V105" s="11" t="inlineStr"/>
      <c r="W105" s="13" t="n"/>
      <c r="X105" s="11" t="inlineStr">
        <is>
          <t>Completed</t>
        </is>
      </c>
      <c r="Y105" s="13" t="n">
        <v>46213</v>
      </c>
      <c r="Z105" s="11" t="inlineStr"/>
      <c r="AA105" s="11" t="inlineStr"/>
      <c r="AB105" s="11" t="inlineStr"/>
      <c r="AC105" s="12" t="inlineStr"/>
      <c r="AD105">
        <f>IF(S105="",0,IF(COUNTIF(S$2:S105,S105&amp;"")=1,1,0))</f>
        <v/>
      </c>
    </row>
    <row r="106">
      <c r="A106" s="11" t="inlineStr">
        <is>
          <t>ENT-105</t>
        </is>
      </c>
      <c r="B106" s="11" t="inlineStr">
        <is>
          <t>pbrennan</t>
        </is>
      </c>
      <c r="C106" s="11" t="inlineStr">
        <is>
          <t>Employee</t>
        </is>
      </c>
      <c r="D106" s="11" t="inlineStr">
        <is>
          <t>Clinical Analytics</t>
        </is>
      </c>
      <c r="E106" s="11" t="inlineStr">
        <is>
          <t>Care Quality Analyst</t>
        </is>
      </c>
      <c r="F106" s="11" t="inlineStr">
        <is>
          <t>Greg Holloway</t>
        </is>
      </c>
      <c r="G106" s="11" t="inlineStr">
        <is>
          <t>Terminated</t>
        </is>
      </c>
      <c r="H106" s="11" t="inlineStr">
        <is>
          <t>Quarrystone portal</t>
        </is>
      </c>
      <c r="I106" s="11" t="inlineStr">
        <is>
          <t>Analyst</t>
        </is>
      </c>
      <c r="J106" s="11" t="inlineStr">
        <is>
          <t>N</t>
        </is>
      </c>
      <c r="K106" s="11" t="inlineStr">
        <is>
          <t>Y</t>
        </is>
      </c>
      <c r="L106" s="13" t="n">
        <v>44593</v>
      </c>
      <c r="M106" s="13" t="n">
        <v>45971</v>
      </c>
      <c r="N106" s="12" t="inlineStr">
        <is>
          <t>Care-gap analysis</t>
        </is>
      </c>
      <c r="O106" s="11" t="inlineStr">
        <is>
          <t>Miriam Castell</t>
        </is>
      </c>
      <c r="P106" s="13" t="n">
        <v>46211</v>
      </c>
      <c r="Q106" s="11" t="inlineStr">
        <is>
          <t>F-INACTIVE; F-TERM</t>
        </is>
      </c>
      <c r="R106" s="11" t="inlineStr">
        <is>
          <t>Revoke</t>
        </is>
      </c>
      <c r="S106" s="11" t="inlineStr">
        <is>
          <t>AR-EX-04</t>
        </is>
      </c>
      <c r="T106" s="12" t="inlineStr">
        <is>
          <t>Former employee (terminated 2025-11-14) retains Quarrystone portal account (local auth; not federated to Okta)</t>
        </is>
      </c>
      <c r="U106" s="12" t="inlineStr">
        <is>
          <t>Deactivate portal account; add portal to JML checklist; request SAML SSO from vendor</t>
        </is>
      </c>
      <c r="V106" s="11" t="inlineStr">
        <is>
          <t>Liam Porter</t>
        </is>
      </c>
      <c r="W106" s="13" t="n">
        <v>46213</v>
      </c>
      <c r="X106" s="11" t="inlineStr">
        <is>
          <t>Completed</t>
        </is>
      </c>
      <c r="Y106" s="13" t="n">
        <v>46212</v>
      </c>
      <c r="Z106" s="11" t="inlineStr">
        <is>
          <t>EVID-061</t>
        </is>
      </c>
      <c r="AA106" s="11" t="inlineStr">
        <is>
          <t>FIND-001</t>
        </is>
      </c>
      <c r="AB106" s="11" t="inlineStr">
        <is>
          <t>AC-2(3); SA-9</t>
        </is>
      </c>
      <c r="AC106" s="12" t="inlineStr">
        <is>
          <t>This is the vendor SOC 2 CUEC Wrenfield was not performing (VR-007)</t>
        </is>
      </c>
      <c r="AD106">
        <f>IF(S106="",0,IF(COUNTIF(S$2:S106,S106&amp;"")=1,1,0))</f>
        <v/>
      </c>
    </row>
    <row r="107">
      <c r="A107" s="11" t="inlineStr">
        <is>
          <t>ENT-106</t>
        </is>
      </c>
      <c r="B107" s="11" t="inlineStr">
        <is>
          <t>svc-qs-api</t>
        </is>
      </c>
      <c r="C107" s="11" t="inlineStr">
        <is>
          <t>Service</t>
        </is>
      </c>
      <c r="D107" s="11" t="inlineStr">
        <is>
          <t>Data Engineering (owner)</t>
        </is>
      </c>
      <c r="E107" s="11" t="inlineStr">
        <is>
          <t>Nightly score retrieval</t>
        </is>
      </c>
      <c r="F107" s="11" t="inlineStr">
        <is>
          <t>Liam Porter (owner)</t>
        </is>
      </c>
      <c r="G107" s="11" t="inlineStr">
        <is>
          <t>n/a (non-human)</t>
        </is>
      </c>
      <c r="H107" s="11" t="inlineStr">
        <is>
          <t>Quarrystone portal</t>
        </is>
      </c>
      <c r="I107" s="11" t="inlineStr">
        <is>
          <t>API key (score retrieval)</t>
        </is>
      </c>
      <c r="J107" s="11" t="inlineStr">
        <is>
          <t>N</t>
        </is>
      </c>
      <c r="K107" s="11" t="inlineStr">
        <is>
          <t>Y</t>
        </is>
      </c>
      <c r="L107" s="13" t="n">
        <v>44986</v>
      </c>
      <c r="M107" s="13" t="n">
        <v>46203</v>
      </c>
      <c r="N107" s="12" t="inlineStr">
        <is>
          <t>Nightly score pull into WCP</t>
        </is>
      </c>
      <c r="O107" s="11" t="inlineStr">
        <is>
          <t>Miriam Castell</t>
        </is>
      </c>
      <c r="P107" s="13" t="n">
        <v>46213</v>
      </c>
      <c r="Q107" s="11" t="inlineStr"/>
      <c r="R107" s="11" t="inlineStr">
        <is>
          <t>Retain</t>
        </is>
      </c>
      <c r="S107" s="11" t="inlineStr"/>
      <c r="T107" s="12" t="inlineStr">
        <is>
          <t>None</t>
        </is>
      </c>
      <c r="U107" s="12" t="inlineStr"/>
      <c r="V107" s="11" t="inlineStr"/>
      <c r="W107" s="13" t="n"/>
      <c r="X107" s="11" t="inlineStr">
        <is>
          <t>Completed</t>
        </is>
      </c>
      <c r="Y107" s="13" t="n">
        <v>46213</v>
      </c>
      <c r="Z107" s="11" t="inlineStr"/>
      <c r="AA107" s="11" t="inlineStr"/>
      <c r="AB107" s="11" t="inlineStr"/>
      <c r="AC107" s="12" t="inlineStr"/>
      <c r="AD107">
        <f>IF(S107="",0,IF(COUNTIF(S$2:S107,S107&amp;"")=1,1,0))</f>
        <v/>
      </c>
    </row>
  </sheetData>
  <autoFilter ref="A1:AC107"/>
  <conditionalFormatting sqref="X2:X307">
    <cfRule type="expression" priority="1" dxfId="4">
      <formula>X2="Satisfied"</formula>
    </cfRule>
    <cfRule type="expression" priority="2" dxfId="5">
      <formula>X2="Other Than Satisfied"</formula>
    </cfRule>
    <cfRule type="expression" priority="3" dxfId="4">
      <formula>X2="Closed"</formula>
    </cfRule>
    <cfRule type="expression" priority="4" dxfId="4">
      <formula>X2="Accepted"</formula>
    </cfRule>
    <cfRule type="expression" priority="5" dxfId="6">
      <formula>X2="Risk Accepted"</formula>
    </cfRule>
    <cfRule type="expression" priority="6" dxfId="5">
      <formula>X2="Overdue"</formula>
    </cfRule>
    <cfRule type="expression" priority="7" dxfId="5">
      <formula>X2="Yes"</formula>
    </cfRule>
    <cfRule type="expression" priority="8" dxfId="5">
      <formula>X2="Insufficient"</formula>
    </cfRule>
    <cfRule type="expression" priority="9" dxfId="7">
      <formula>X2="Rework Required"</formula>
    </cfRule>
    <cfRule type="expression" priority="10" dxfId="7">
      <formula>X2="Delayed"</formula>
    </cfRule>
  </conditionalFormatting>
  <dataValidations count="1">
    <dataValidation sqref="R2:R307" showDropDown="0" showInputMessage="0" showErrorMessage="1" allowBlank="1" errorTitle="Controlled value" error="Choose a value from the list (controlled vocabulary)." type="list">
      <formula1>"Retain,Retain (time-bound),Retain with exception,Modify,Revoke"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40" customWidth="1" min="3" max="3"/>
    <col width="16" customWidth="1" min="4" max="4"/>
    <col width="24" customWidth="1" min="5" max="5"/>
    <col width="19" customWidth="1" min="6" max="6"/>
    <col width="28" customWidth="1" min="7" max="7"/>
    <col width="28" customWidth="1" min="8" max="8"/>
    <col width="24" customWidth="1" min="9" max="9"/>
    <col width="16" customWidth="1" min="10" max="10"/>
    <col width="16" customWidth="1" min="11" max="11"/>
    <col width="16" customWidth="1" min="12" max="12"/>
    <col width="19" customWidth="1" min="13" max="13"/>
    <col width="16" customWidth="1" min="14" max="14"/>
    <col width="21" customWidth="1" min="15" max="15"/>
    <col width="34" customWidth="1" min="16" max="16"/>
    <col width="26" customWidth="1" min="17" max="17"/>
    <col width="24" customWidth="1" min="18" max="18"/>
    <col width="16" customWidth="1" min="19" max="19"/>
  </cols>
  <sheetData>
    <row r="1" ht="32" customHeight="1">
      <c r="A1" s="10" t="inlineStr">
        <is>
          <t>Vendor ID</t>
        </is>
      </c>
      <c r="B1" s="10" t="inlineStr">
        <is>
          <t>Vendor</t>
        </is>
      </c>
      <c r="C1" s="10" t="inlineStr">
        <is>
          <t>Service</t>
        </is>
      </c>
      <c r="D1" s="10" t="inlineStr">
        <is>
          <t>Business Owner</t>
        </is>
      </c>
      <c r="E1" s="10" t="inlineStr">
        <is>
          <t>Data Sensitivity (0-3)</t>
        </is>
      </c>
      <c r="F1" s="10" t="inlineStr">
        <is>
          <t>Data Volume (0-3)</t>
        </is>
      </c>
      <c r="G1" s="10" t="inlineStr">
        <is>
          <t>Access / Integration (0-3)</t>
        </is>
      </c>
      <c r="H1" s="10" t="inlineStr">
        <is>
          <t>Business Criticality (0-3)</t>
        </is>
      </c>
      <c r="I1" s="10" t="inlineStr">
        <is>
          <t>Substitutability (0-2)</t>
        </is>
      </c>
      <c r="J1" s="10" t="inlineStr">
        <is>
          <t>Inherent Score</t>
        </is>
      </c>
      <c r="K1" s="10" t="inlineStr">
        <is>
          <t>Tier</t>
        </is>
      </c>
      <c r="L1" s="10" t="inlineStr">
        <is>
          <t>Last Assessed</t>
        </is>
      </c>
      <c r="M1" s="10" t="inlineStr">
        <is>
          <t>Reassess (months)</t>
        </is>
      </c>
      <c r="N1" s="10" t="inlineStr">
        <is>
          <t>Next Due</t>
        </is>
      </c>
      <c r="O1" s="10" t="inlineStr">
        <is>
          <t>Assessment Current?</t>
        </is>
      </c>
      <c r="P1" s="10" t="inlineStr">
        <is>
          <t>Assessment Method</t>
        </is>
      </c>
      <c r="Q1" s="10" t="inlineStr">
        <is>
          <t>Breach Notice Term</t>
        </is>
      </c>
      <c r="R1" s="10" t="inlineStr">
        <is>
          <t>Fourth Parties Mapped?</t>
        </is>
      </c>
      <c r="S1" s="10" t="inlineStr">
        <is>
          <t>Real Platform?</t>
        </is>
      </c>
    </row>
    <row r="2">
      <c r="A2" s="11" t="inlineStr">
        <is>
          <t>VEN-001</t>
        </is>
      </c>
      <c r="B2" s="11" t="inlineStr">
        <is>
          <t>AWS</t>
        </is>
      </c>
      <c r="C2" s="12" t="inlineStr">
        <is>
          <t>IaaS/PaaS hosting for WCP-PROD (BAA)</t>
        </is>
      </c>
      <c r="D2" s="11" t="inlineStr">
        <is>
          <t>Samir Haddad</t>
        </is>
      </c>
      <c r="E2" s="11" t="n">
        <v>3</v>
      </c>
      <c r="F2" s="11" t="n">
        <v>3</v>
      </c>
      <c r="G2" s="11" t="n">
        <v>3</v>
      </c>
      <c r="H2" s="11" t="n">
        <v>3</v>
      </c>
      <c r="I2" s="11" t="n">
        <v>2</v>
      </c>
      <c r="J2" s="11">
        <f>SUM(E2:I2)</f>
        <v/>
      </c>
      <c r="K2" s="11">
        <f>IF(J2&gt;=9,1,IF(J2&gt;=5,2,3))</f>
        <v/>
      </c>
      <c r="L2" s="13" t="n">
        <v>46093</v>
      </c>
      <c r="M2" s="11">
        <f>IF(K2=1,12,IF(K2=2,24,36))</f>
        <v/>
      </c>
      <c r="N2" s="13">
        <f>IF(L2="","",DATE(YEAR(L2),MONTH(L2)+M2,MIN(DAY(L2),28)))</f>
        <v/>
      </c>
      <c r="O2" s="11">
        <f>IF(L2="","No (never)",IF(N2&lt;README!$B$4,"No (overdue)","Yes"))</f>
        <v/>
      </c>
      <c r="P2" s="12" t="inlineStr">
        <is>
          <t>Review of provider's published compliance documentation (details out of scope)</t>
        </is>
      </c>
      <c r="Q2" s="11" t="inlineStr">
        <is>
          <t>Per provider BAA</t>
        </is>
      </c>
      <c r="R2" s="11" t="inlineStr">
        <is>
          <t>n/a</t>
        </is>
      </c>
      <c r="S2" s="11" t="inlineStr">
        <is>
          <t>Yes (no claims made about provider)</t>
        </is>
      </c>
    </row>
    <row r="3">
      <c r="A3" s="11" t="inlineStr">
        <is>
          <t>VEN-002</t>
        </is>
      </c>
      <c r="B3" s="11" t="inlineStr">
        <is>
          <t>Okta</t>
        </is>
      </c>
      <c r="C3" s="12" t="inlineStr">
        <is>
          <t>Workforce identity (SSO/MFA)</t>
        </is>
      </c>
      <c r="D3" s="11" t="inlineStr">
        <is>
          <t>Alicia Moreno</t>
        </is>
      </c>
      <c r="E3" s="11" t="n">
        <v>2</v>
      </c>
      <c r="F3" s="11" t="n">
        <v>2</v>
      </c>
      <c r="G3" s="11" t="n">
        <v>3</v>
      </c>
      <c r="H3" s="11" t="n">
        <v>3</v>
      </c>
      <c r="I3" s="11" t="n">
        <v>2</v>
      </c>
      <c r="J3" s="11">
        <f>SUM(E3:I3)</f>
        <v/>
      </c>
      <c r="K3" s="11">
        <f>IF(J3&gt;=9,1,IF(J3&gt;=5,2,3))</f>
        <v/>
      </c>
      <c r="L3" s="13" t="n">
        <v>46073</v>
      </c>
      <c r="M3" s="11">
        <f>IF(K3=1,12,IF(K3=2,24,36))</f>
        <v/>
      </c>
      <c r="N3" s="13">
        <f>IF(L3="","",DATE(YEAR(L3),MONTH(L3)+M3,MIN(DAY(L3),28)))</f>
        <v/>
      </c>
      <c r="O3" s="11">
        <f>IF(L3="","No (never)",IF(N3&lt;README!$B$4,"No (overdue)","Yes"))</f>
        <v/>
      </c>
      <c r="P3" s="12" t="inlineStr">
        <is>
          <t>Review of provider's published compliance documentation (details out of scope)</t>
        </is>
      </c>
      <c r="Q3" s="11" t="inlineStr">
        <is>
          <t>Per provider terms</t>
        </is>
      </c>
      <c r="R3" s="11" t="inlineStr">
        <is>
          <t>n/a</t>
        </is>
      </c>
      <c r="S3" s="11" t="inlineStr">
        <is>
          <t>Yes (no claims made about provider)</t>
        </is>
      </c>
    </row>
    <row r="4">
      <c r="A4" s="11" t="inlineStr">
        <is>
          <t>VEN-003</t>
        </is>
      </c>
      <c r="B4" s="11" t="inlineStr">
        <is>
          <t>GitHub</t>
        </is>
      </c>
      <c r="C4" s="12" t="inlineStr">
        <is>
          <t>Source code, CI/CD (Actions)</t>
        </is>
      </c>
      <c r="D4" s="11" t="inlineStr">
        <is>
          <t>Grace Lindqvist</t>
        </is>
      </c>
      <c r="E4" s="11" t="n">
        <v>2</v>
      </c>
      <c r="F4" s="11" t="n">
        <v>1</v>
      </c>
      <c r="G4" s="11" t="n">
        <v>3</v>
      </c>
      <c r="H4" s="11" t="n">
        <v>2</v>
      </c>
      <c r="I4" s="11" t="n">
        <v>1</v>
      </c>
      <c r="J4" s="11">
        <f>SUM(E4:I4)</f>
        <v/>
      </c>
      <c r="K4" s="11">
        <f>IF(J4&gt;=9,1,IF(J4&gt;=5,2,3))</f>
        <v/>
      </c>
      <c r="L4" s="13" t="n">
        <v>46050</v>
      </c>
      <c r="M4" s="11">
        <f>IF(K4=1,12,IF(K4=2,24,36))</f>
        <v/>
      </c>
      <c r="N4" s="13">
        <f>IF(L4="","",DATE(YEAR(L4),MONTH(L4)+M4,MIN(DAY(L4),28)))</f>
        <v/>
      </c>
      <c r="O4" s="11">
        <f>IF(L4="","No (never)",IF(N4&lt;README!$B$4,"No (overdue)","Yes"))</f>
        <v/>
      </c>
      <c r="P4" s="12" t="inlineStr">
        <is>
          <t>Review of provider's published compliance documentation (details out of scope)</t>
        </is>
      </c>
      <c r="Q4" s="11" t="inlineStr">
        <is>
          <t>Per provider terms</t>
        </is>
      </c>
      <c r="R4" s="11" t="inlineStr">
        <is>
          <t>n/a</t>
        </is>
      </c>
      <c r="S4" s="11" t="inlineStr">
        <is>
          <t>Yes (no claims made about provider)</t>
        </is>
      </c>
    </row>
    <row r="5">
      <c r="A5" s="11" t="inlineStr">
        <is>
          <t>VEN-004</t>
        </is>
      </c>
      <c r="B5" s="11" t="inlineStr">
        <is>
          <t>Quarrystone Analytics, LLC (fictional)</t>
        </is>
      </c>
      <c r="C5" s="12" t="inlineStr">
        <is>
          <t>Population-health analytics; nightly full-PHI extract (about 410k patients)</t>
        </is>
      </c>
      <c r="D5" s="11" t="inlineStr">
        <is>
          <t>Miriam Castell</t>
        </is>
      </c>
      <c r="E5" s="11" t="n">
        <v>3</v>
      </c>
      <c r="F5" s="11" t="n">
        <v>3</v>
      </c>
      <c r="G5" s="11" t="n">
        <v>2</v>
      </c>
      <c r="H5" s="11" t="n">
        <v>2</v>
      </c>
      <c r="I5" s="11" t="n">
        <v>2</v>
      </c>
      <c r="J5" s="11">
        <f>SUM(E5:I5)</f>
        <v/>
      </c>
      <c r="K5" s="11">
        <f>IF(J5&gt;=9,1,IF(J5&gt;=5,2,3))</f>
        <v/>
      </c>
      <c r="L5" s="13" t="n">
        <v>46227</v>
      </c>
      <c r="M5" s="11">
        <f>IF(K5=1,12,IF(K5=2,24,36))</f>
        <v/>
      </c>
      <c r="N5" s="13">
        <f>IF(L5="","",DATE(YEAR(L5),MONTH(L5)+M5,MIN(DAY(L5),28)))</f>
        <v/>
      </c>
      <c r="O5" s="11">
        <f>IF(L5="","No (never)",IF(N5&lt;README!$B$4,"No (overdue)","Yes"))</f>
        <v/>
      </c>
      <c r="P5" s="12" t="inlineStr">
        <is>
          <t>Deep assessment (this engagement): questionnaire, SOC 2 review, interviews</t>
        </is>
      </c>
      <c r="Q5" s="11" t="inlineStr">
        <is>
          <t>30 days (BAA 2023)</t>
        </is>
      </c>
      <c r="R5" s="11" t="inlineStr">
        <is>
          <t>Yes (4 subprocessors identified during this assessment)</t>
        </is>
      </c>
      <c r="S5" s="11" t="inlineStr">
        <is>
          <t>No (fictional)</t>
        </is>
      </c>
    </row>
    <row r="6">
      <c r="A6" s="11" t="inlineStr">
        <is>
          <t>VEN-005</t>
        </is>
      </c>
      <c r="B6" s="11" t="inlineStr">
        <is>
          <t>Pulsewire Connect (fictional)</t>
        </is>
      </c>
      <c r="C6" s="12" t="inlineStr">
        <is>
          <t>RPM cellular hubs and device-data API</t>
        </is>
      </c>
      <c r="D6" s="11" t="inlineStr">
        <is>
          <t>Jorge Almeida</t>
        </is>
      </c>
      <c r="E6" s="11" t="n">
        <v>3</v>
      </c>
      <c r="F6" s="11" t="n">
        <v>3</v>
      </c>
      <c r="G6" s="11" t="n">
        <v>2</v>
      </c>
      <c r="H6" s="11" t="n">
        <v>3</v>
      </c>
      <c r="I6" s="11" t="n">
        <v>2</v>
      </c>
      <c r="J6" s="11">
        <f>SUM(E6:I6)</f>
        <v/>
      </c>
      <c r="K6" s="11">
        <f>IF(J6&gt;=9,1,IF(J6&gt;=5,2,3))</f>
        <v/>
      </c>
      <c r="L6" s="13" t="n">
        <v>45518</v>
      </c>
      <c r="M6" s="11">
        <f>IF(K6=1,12,IF(K6=2,24,36))</f>
        <v/>
      </c>
      <c r="N6" s="13">
        <f>IF(L6="","",DATE(YEAR(L6),MONTH(L6)+M6,MIN(DAY(L6),28)))</f>
        <v/>
      </c>
      <c r="O6" s="11">
        <f>IF(L6="","No (never)",IF(N6&lt;README!$B$4,"No (overdue)","Yes"))</f>
        <v/>
      </c>
      <c r="P6" s="12" t="inlineStr">
        <is>
          <t>Questionnaire + SOC 2 review</t>
        </is>
      </c>
      <c r="Q6" s="11" t="inlineStr">
        <is>
          <t>10 days</t>
        </is>
      </c>
      <c r="R6" s="11" t="inlineStr">
        <is>
          <t>No</t>
        </is>
      </c>
      <c r="S6" s="11" t="inlineStr">
        <is>
          <t>No (fictional)</t>
        </is>
      </c>
    </row>
    <row r="7">
      <c r="A7" s="11" t="inlineStr">
        <is>
          <t>VEN-006</t>
        </is>
      </c>
      <c r="B7" s="11" t="inlineStr">
        <is>
          <t>Ironpeak MDR (fictional)</t>
        </is>
      </c>
      <c r="C7" s="12" t="inlineStr">
        <is>
          <t>24x7 managed detection and response (SIEM/EDR access)</t>
        </is>
      </c>
      <c r="D7" s="11" t="inlineStr">
        <is>
          <t>Owen Castillo</t>
        </is>
      </c>
      <c r="E7" s="11" t="n">
        <v>2</v>
      </c>
      <c r="F7" s="11" t="n">
        <v>2</v>
      </c>
      <c r="G7" s="11" t="n">
        <v>3</v>
      </c>
      <c r="H7" s="11" t="n">
        <v>2</v>
      </c>
      <c r="I7" s="11" t="n">
        <v>1</v>
      </c>
      <c r="J7" s="11">
        <f>SUM(E7:I7)</f>
        <v/>
      </c>
      <c r="K7" s="11">
        <f>IF(J7&gt;=9,1,IF(J7&gt;=5,2,3))</f>
        <v/>
      </c>
      <c r="L7" s="13" t="n">
        <v>45635</v>
      </c>
      <c r="M7" s="11">
        <f>IF(K7=1,12,IF(K7=2,24,36))</f>
        <v/>
      </c>
      <c r="N7" s="13">
        <f>IF(L7="","",DATE(YEAR(L7),MONTH(L7)+M7,MIN(DAY(L7),28)))</f>
        <v/>
      </c>
      <c r="O7" s="11">
        <f>IF(L7="","No (never)",IF(N7&lt;README!$B$4,"No (overdue)","Yes"))</f>
        <v/>
      </c>
      <c r="P7" s="12" t="inlineStr">
        <is>
          <t>Onboarding due diligence only</t>
        </is>
      </c>
      <c r="Q7" s="11" t="inlineStr">
        <is>
          <t>48 hours</t>
        </is>
      </c>
      <c r="R7" s="11" t="inlineStr">
        <is>
          <t>No</t>
        </is>
      </c>
      <c r="S7" s="11" t="inlineStr">
        <is>
          <t>No (fictional)</t>
        </is>
      </c>
    </row>
    <row r="8">
      <c r="A8" s="11" t="inlineStr">
        <is>
          <t>VEN-007</t>
        </is>
      </c>
      <c r="B8" s="11" t="inlineStr">
        <is>
          <t>Google Workspace</t>
        </is>
      </c>
      <c r="C8" s="12" t="inlineStr">
        <is>
          <t>Email and documents (BAA)</t>
        </is>
      </c>
      <c r="D8" s="11" t="inlineStr">
        <is>
          <t>Kevin Brandt</t>
        </is>
      </c>
      <c r="E8" s="11" t="n">
        <v>3</v>
      </c>
      <c r="F8" s="11" t="n">
        <v>2</v>
      </c>
      <c r="G8" s="11" t="n">
        <v>1</v>
      </c>
      <c r="H8" s="11" t="n">
        <v>2</v>
      </c>
      <c r="I8" s="11" t="n">
        <v>2</v>
      </c>
      <c r="J8" s="11">
        <f>SUM(E8:I8)</f>
        <v/>
      </c>
      <c r="K8" s="11">
        <f>IF(J8&gt;=9,1,IF(J8&gt;=5,2,3))</f>
        <v/>
      </c>
      <c r="L8" s="13" t="n">
        <v>46121</v>
      </c>
      <c r="M8" s="11">
        <f>IF(K8=1,12,IF(K8=2,24,36))</f>
        <v/>
      </c>
      <c r="N8" s="13">
        <f>IF(L8="","",DATE(YEAR(L8),MONTH(L8)+M8,MIN(DAY(L8),28)))</f>
        <v/>
      </c>
      <c r="O8" s="11">
        <f>IF(L8="","No (never)",IF(N8&lt;README!$B$4,"No (overdue)","Yes"))</f>
        <v/>
      </c>
      <c r="P8" s="12" t="inlineStr">
        <is>
          <t>Review of provider's published compliance documentation (details out of scope)</t>
        </is>
      </c>
      <c r="Q8" s="11" t="inlineStr">
        <is>
          <t>Per provider BAA</t>
        </is>
      </c>
      <c r="R8" s="11" t="inlineStr">
        <is>
          <t>n/a</t>
        </is>
      </c>
      <c r="S8" s="11" t="inlineStr">
        <is>
          <t>Yes (no claims made about provider)</t>
        </is>
      </c>
    </row>
    <row r="9">
      <c r="A9" s="11" t="inlineStr">
        <is>
          <t>VEN-008</t>
        </is>
      </c>
      <c r="B9" s="11" t="inlineStr">
        <is>
          <t>Brightdesk (fictional)</t>
        </is>
      </c>
      <c r="C9" s="12" t="inlineStr">
        <is>
          <t>Customer-support ticketing (limited PHI)</t>
        </is>
      </c>
      <c r="D9" s="11" t="inlineStr">
        <is>
          <t>Jorge Almeida</t>
        </is>
      </c>
      <c r="E9" s="11" t="n">
        <v>3</v>
      </c>
      <c r="F9" s="11" t="n">
        <v>1</v>
      </c>
      <c r="G9" s="11" t="n">
        <v>1</v>
      </c>
      <c r="H9" s="11" t="n">
        <v>1</v>
      </c>
      <c r="I9" s="11" t="n">
        <v>1</v>
      </c>
      <c r="J9" s="11">
        <f>SUM(E9:I9)</f>
        <v/>
      </c>
      <c r="K9" s="11">
        <f>IF(J9&gt;=9,1,IF(J9&gt;=5,2,3))</f>
        <v/>
      </c>
      <c r="L9" s="13" t="n">
        <v>45797</v>
      </c>
      <c r="M9" s="11">
        <f>IF(K9=1,12,IF(K9=2,24,36))</f>
        <v/>
      </c>
      <c r="N9" s="13">
        <f>IF(L9="","",DATE(YEAR(L9),MONTH(L9)+M9,MIN(DAY(L9),28)))</f>
        <v/>
      </c>
      <c r="O9" s="11">
        <f>IF(L9="","No (never)",IF(N9&lt;README!$B$4,"No (overdue)","Yes"))</f>
        <v/>
      </c>
      <c r="P9" s="12" t="inlineStr">
        <is>
          <t>Questionnaire + SOC 2 review</t>
        </is>
      </c>
      <c r="Q9" s="11" t="inlineStr">
        <is>
          <t>5 business days</t>
        </is>
      </c>
      <c r="R9" s="11" t="inlineStr">
        <is>
          <t>No</t>
        </is>
      </c>
      <c r="S9" s="11" t="inlineStr">
        <is>
          <t>No (fictional)</t>
        </is>
      </c>
    </row>
    <row r="10">
      <c r="A10" s="11" t="inlineStr">
        <is>
          <t>VEN-009</t>
        </is>
      </c>
      <c r="B10" s="11" t="inlineStr">
        <is>
          <t>Clearpath Messaging (fictional)</t>
        </is>
      </c>
      <c r="C10" s="12" t="inlineStr">
        <is>
          <t>Patient SMS/voice reminders (name + phone + appointment time)</t>
        </is>
      </c>
      <c r="D10" s="11" t="inlineStr">
        <is>
          <t>Jorge Almeida</t>
        </is>
      </c>
      <c r="E10" s="11" t="n">
        <v>2</v>
      </c>
      <c r="F10" s="11" t="n">
        <v>3</v>
      </c>
      <c r="G10" s="11" t="n">
        <v>2</v>
      </c>
      <c r="H10" s="11" t="n">
        <v>1</v>
      </c>
      <c r="I10" s="11" t="n">
        <v>0</v>
      </c>
      <c r="J10" s="11">
        <f>SUM(E10:I10)</f>
        <v/>
      </c>
      <c r="K10" s="11">
        <f>IF(J10&gt;=9,1,IF(J10&gt;=5,2,3))</f>
        <v/>
      </c>
      <c r="L10" s="13" t="n">
        <v>45418</v>
      </c>
      <c r="M10" s="11">
        <f>IF(K10=1,12,IF(K10=2,24,36))</f>
        <v/>
      </c>
      <c r="N10" s="13">
        <f>IF(L10="","",DATE(YEAR(L10),MONTH(L10)+M10,MIN(DAY(L10),28)))</f>
        <v/>
      </c>
      <c r="O10" s="11">
        <f>IF(L10="","No (never)",IF(N10&lt;README!$B$4,"No (overdue)","Yes"))</f>
        <v/>
      </c>
      <c r="P10" s="12" t="inlineStr">
        <is>
          <t>Questionnaire</t>
        </is>
      </c>
      <c r="Q10" s="11" t="inlineStr">
        <is>
          <t>Without unreasonable delay (no fixed period)</t>
        </is>
      </c>
      <c r="R10" s="11" t="inlineStr">
        <is>
          <t>No</t>
        </is>
      </c>
      <c r="S10" s="11" t="inlineStr">
        <is>
          <t>No (fictional)</t>
        </is>
      </c>
    </row>
    <row r="11">
      <c r="A11" s="11" t="inlineStr">
        <is>
          <t>VEN-010</t>
        </is>
      </c>
      <c r="B11" s="11" t="inlineStr">
        <is>
          <t>PeopleHub (fictional)</t>
        </is>
      </c>
      <c r="C11" s="12" t="inlineStr">
        <is>
          <t>HRIS (authoritative source for JML)</t>
        </is>
      </c>
      <c r="D11" s="11" t="inlineStr">
        <is>
          <t>Denise Yamamoto</t>
        </is>
      </c>
      <c r="E11" s="11" t="n">
        <v>2</v>
      </c>
      <c r="F11" s="11" t="n">
        <v>1</v>
      </c>
      <c r="G11" s="11" t="n">
        <v>1</v>
      </c>
      <c r="H11" s="11" t="n">
        <v>2</v>
      </c>
      <c r="I11" s="11" t="n">
        <v>1</v>
      </c>
      <c r="J11" s="11">
        <f>SUM(E11:I11)</f>
        <v/>
      </c>
      <c r="K11" s="11">
        <f>IF(J11&gt;=9,1,IF(J11&gt;=5,2,3))</f>
        <v/>
      </c>
      <c r="L11" s="13" t="n">
        <v>45734</v>
      </c>
      <c r="M11" s="11">
        <f>IF(K11=1,12,IF(K11=2,24,36))</f>
        <v/>
      </c>
      <c r="N11" s="13">
        <f>IF(L11="","",DATE(YEAR(L11),MONTH(L11)+M11,MIN(DAY(L11),28)))</f>
        <v/>
      </c>
      <c r="O11" s="11">
        <f>IF(L11="","No (never)",IF(N11&lt;README!$B$4,"No (overdue)","Yes"))</f>
        <v/>
      </c>
      <c r="P11" s="12" t="inlineStr">
        <is>
          <t>Questionnaire + SOC 2 review</t>
        </is>
      </c>
      <c r="Q11" s="11" t="inlineStr">
        <is>
          <t>72 hours</t>
        </is>
      </c>
      <c r="R11" s="11" t="inlineStr">
        <is>
          <t>No</t>
        </is>
      </c>
      <c r="S11" s="11" t="inlineStr">
        <is>
          <t>No (fictional)</t>
        </is>
      </c>
    </row>
    <row r="12">
      <c r="A12" s="11" t="inlineStr">
        <is>
          <t>VEN-011</t>
        </is>
      </c>
      <c r="B12" s="11" t="inlineStr">
        <is>
          <t>Ledgerline (fictional)</t>
        </is>
      </c>
      <c r="C12" s="12" t="inlineStr">
        <is>
          <t>ERP / finance</t>
        </is>
      </c>
      <c r="D12" s="11" t="inlineStr">
        <is>
          <t>Laura Brenneman</t>
        </is>
      </c>
      <c r="E12" s="11" t="n">
        <v>2</v>
      </c>
      <c r="F12" s="11" t="n">
        <v>1</v>
      </c>
      <c r="G12" s="11" t="n">
        <v>1</v>
      </c>
      <c r="H12" s="11" t="n">
        <v>2</v>
      </c>
      <c r="I12" s="11" t="n">
        <v>1</v>
      </c>
      <c r="J12" s="11">
        <f>SUM(E12:I12)</f>
        <v/>
      </c>
      <c r="K12" s="11">
        <f>IF(J12&gt;=9,1,IF(J12&gt;=5,2,3))</f>
        <v/>
      </c>
      <c r="L12" s="13" t="n">
        <v>45902</v>
      </c>
      <c r="M12" s="11">
        <f>IF(K12=1,12,IF(K12=2,24,36))</f>
        <v/>
      </c>
      <c r="N12" s="13">
        <f>IF(L12="","",DATE(YEAR(L12),MONTH(L12)+M12,MIN(DAY(L12),28)))</f>
        <v/>
      </c>
      <c r="O12" s="11">
        <f>IF(L12="","No (never)",IF(N12&lt;README!$B$4,"No (overdue)","Yes"))</f>
        <v/>
      </c>
      <c r="P12" s="12" t="inlineStr">
        <is>
          <t>Questionnaire + SOC 1/SOC 2 review</t>
        </is>
      </c>
      <c r="Q12" s="11" t="inlineStr">
        <is>
          <t>72 hours</t>
        </is>
      </c>
      <c r="R12" s="11" t="inlineStr">
        <is>
          <t>No</t>
        </is>
      </c>
      <c r="S12" s="11" t="inlineStr">
        <is>
          <t>No (fictional)</t>
        </is>
      </c>
    </row>
    <row r="13">
      <c r="A13" s="11" t="inlineStr">
        <is>
          <t>VEN-012</t>
        </is>
      </c>
      <c r="B13" s="11" t="inlineStr">
        <is>
          <t>Northgate Talent Partners (fictional)</t>
        </is>
      </c>
      <c r="C13" s="12" t="inlineStr">
        <is>
          <t>Contract engineering staff (contractors receive privileged access)</t>
        </is>
      </c>
      <c r="D13" s="11" t="inlineStr">
        <is>
          <t>Sofia Ricci</t>
        </is>
      </c>
      <c r="E13" s="11" t="n">
        <v>1</v>
      </c>
      <c r="F13" s="11" t="n">
        <v>0</v>
      </c>
      <c r="G13" s="11" t="n">
        <v>3</v>
      </c>
      <c r="H13" s="11" t="n">
        <v>1</v>
      </c>
      <c r="I13" s="11" t="n">
        <v>0</v>
      </c>
      <c r="J13" s="11">
        <f>SUM(E13:I13)</f>
        <v/>
      </c>
      <c r="K13" s="11">
        <f>IF(J13&gt;=9,1,IF(J13&gt;=5,2,3))</f>
        <v/>
      </c>
      <c r="L13" s="13" t="n"/>
      <c r="M13" s="11">
        <f>IF(K13=1,12,IF(K13=2,24,36))</f>
        <v/>
      </c>
      <c r="N13" s="13">
        <f>IF(L13="","",DATE(YEAR(L13),MONTH(L13)+M13,MIN(DAY(L13),28)))</f>
        <v/>
      </c>
      <c r="O13" s="11">
        <f>IF(L13="","No (never)",IF(N13&lt;README!$B$4,"No (overdue)","Yes"))</f>
        <v/>
      </c>
      <c r="P13" s="12" t="inlineStr">
        <is>
          <t>Never assessed (treated as staffing, not a data vendor)</t>
        </is>
      </c>
      <c r="Q13" s="11" t="inlineStr">
        <is>
          <t>None in MSA</t>
        </is>
      </c>
      <c r="R13" s="11" t="inlineStr">
        <is>
          <t>No</t>
        </is>
      </c>
      <c r="S13" s="11" t="inlineStr">
        <is>
          <t>No (fictional)</t>
        </is>
      </c>
    </row>
    <row r="14">
      <c r="A14" s="11" t="inlineStr">
        <is>
          <t>VEN-013</t>
        </is>
      </c>
      <c r="B14" s="11" t="inlineStr">
        <is>
          <t>Beaconline SIEM (fictional)</t>
        </is>
      </c>
      <c r="C14" s="12" t="inlineStr">
        <is>
          <t>Cloud SIEM</t>
        </is>
      </c>
      <c r="D14" s="11" t="inlineStr">
        <is>
          <t>Owen Castillo</t>
        </is>
      </c>
      <c r="E14" s="11" t="n">
        <v>2</v>
      </c>
      <c r="F14" s="11" t="n">
        <v>2</v>
      </c>
      <c r="G14" s="11" t="n">
        <v>1</v>
      </c>
      <c r="H14" s="11" t="n">
        <v>2</v>
      </c>
      <c r="I14" s="11" t="n">
        <v>1</v>
      </c>
      <c r="J14" s="11">
        <f>SUM(E14:I14)</f>
        <v/>
      </c>
      <c r="K14" s="11">
        <f>IF(J14&gt;=9,1,IF(J14&gt;=5,2,3))</f>
        <v/>
      </c>
      <c r="L14" s="13" t="n">
        <v>45699</v>
      </c>
      <c r="M14" s="11">
        <f>IF(K14=1,12,IF(K14=2,24,36))</f>
        <v/>
      </c>
      <c r="N14" s="13">
        <f>IF(L14="","",DATE(YEAR(L14),MONTH(L14)+M14,MIN(DAY(L14),28)))</f>
        <v/>
      </c>
      <c r="O14" s="11">
        <f>IF(L14="","No (never)",IF(N14&lt;README!$B$4,"No (overdue)","Yes"))</f>
        <v/>
      </c>
      <c r="P14" s="12" t="inlineStr">
        <is>
          <t>Questionnaire + SOC 2 review</t>
        </is>
      </c>
      <c r="Q14" s="11" t="inlineStr">
        <is>
          <t>72 hours</t>
        </is>
      </c>
      <c r="R14" s="11" t="inlineStr">
        <is>
          <t>No</t>
        </is>
      </c>
      <c r="S14" s="11" t="inlineStr">
        <is>
          <t>No (fictional)</t>
        </is>
      </c>
    </row>
    <row r="15">
      <c r="A15" s="11" t="inlineStr">
        <is>
          <t>VEN-014</t>
        </is>
      </c>
      <c r="B15" s="11" t="inlineStr">
        <is>
          <t>Coldwater Secure Destruction (fictional)</t>
        </is>
      </c>
      <c r="C15" s="12" t="inlineStr">
        <is>
          <t>IT asset disposition</t>
        </is>
      </c>
      <c r="D15" s="11" t="inlineStr">
        <is>
          <t>Kevin Brandt</t>
        </is>
      </c>
      <c r="E15" s="11" t="n">
        <v>1</v>
      </c>
      <c r="F15" s="11" t="n">
        <v>1</v>
      </c>
      <c r="G15" s="11" t="n">
        <v>0</v>
      </c>
      <c r="H15" s="11" t="n">
        <v>0</v>
      </c>
      <c r="I15" s="11" t="n">
        <v>0</v>
      </c>
      <c r="J15" s="11">
        <f>SUM(E15:I15)</f>
        <v/>
      </c>
      <c r="K15" s="11">
        <f>IF(J15&gt;=9,1,IF(J15&gt;=5,2,3))</f>
        <v/>
      </c>
      <c r="L15" s="13" t="n">
        <v>45931</v>
      </c>
      <c r="M15" s="11">
        <f>IF(K15=1,12,IF(K15=2,24,36))</f>
        <v/>
      </c>
      <c r="N15" s="13">
        <f>IF(L15="","",DATE(YEAR(L15),MONTH(L15)+M15,MIN(DAY(L15),28)))</f>
        <v/>
      </c>
      <c r="O15" s="11">
        <f>IF(L15="","No (never)",IF(N15&lt;README!$B$4,"No (overdue)","Yes"))</f>
        <v/>
      </c>
      <c r="P15" s="12" t="inlineStr">
        <is>
          <t>Certificate + NAID-style attestation review</t>
        </is>
      </c>
      <c r="Q15" s="11" t="inlineStr">
        <is>
          <t>5 business days</t>
        </is>
      </c>
      <c r="R15" s="11" t="inlineStr">
        <is>
          <t>n/a</t>
        </is>
      </c>
      <c r="S15" s="11" t="inlineStr">
        <is>
          <t>No (fictional)</t>
        </is>
      </c>
    </row>
    <row r="16">
      <c r="A16" s="11" t="inlineStr">
        <is>
          <t>VEN-015</t>
        </is>
      </c>
      <c r="B16" s="11" t="inlineStr">
        <is>
          <t>Lanternworks Security (fictional)</t>
        </is>
      </c>
      <c r="C16" s="12" t="inlineStr">
        <is>
          <t>Annual penetration testing</t>
        </is>
      </c>
      <c r="D16" s="11" t="inlineStr">
        <is>
          <t>Alicia Moreno</t>
        </is>
      </c>
      <c r="E16" s="11" t="n">
        <v>2</v>
      </c>
      <c r="F16" s="11" t="n">
        <v>0</v>
      </c>
      <c r="G16" s="11" t="n">
        <v>2</v>
      </c>
      <c r="H16" s="11" t="n">
        <v>0</v>
      </c>
      <c r="I16" s="11" t="n">
        <v>0</v>
      </c>
      <c r="J16" s="11">
        <f>SUM(E16:I16)</f>
        <v/>
      </c>
      <c r="K16" s="11">
        <f>IF(J16&gt;=9,1,IF(J16&gt;=5,2,3))</f>
        <v/>
      </c>
      <c r="L16" s="13" t="n">
        <v>45976</v>
      </c>
      <c r="M16" s="11">
        <f>IF(K16=1,12,IF(K16=2,24,36))</f>
        <v/>
      </c>
      <c r="N16" s="13">
        <f>IF(L16="","",DATE(YEAR(L16),MONTH(L16)+M16,MIN(DAY(L16),28)))</f>
        <v/>
      </c>
      <c r="O16" s="11">
        <f>IF(L16="","No (never)",IF(N16&lt;README!$B$4,"No (overdue)","Yes"))</f>
        <v/>
      </c>
      <c r="P16" s="12" t="inlineStr">
        <is>
          <t>Engagement due diligence</t>
        </is>
      </c>
      <c r="Q16" s="11" t="inlineStr">
        <is>
          <t>24 hours</t>
        </is>
      </c>
      <c r="R16" s="11" t="inlineStr">
        <is>
          <t>n/a</t>
        </is>
      </c>
      <c r="S16" s="11" t="inlineStr">
        <is>
          <t>No (fictional)</t>
        </is>
      </c>
    </row>
    <row r="17">
      <c r="A17" s="11" t="inlineStr">
        <is>
          <t>VEN-016</t>
        </is>
      </c>
      <c r="B17" s="11" t="inlineStr">
        <is>
          <t>Tallis Print &amp; Mail (fictional)</t>
        </is>
      </c>
      <c r="C17" s="12" t="inlineStr">
        <is>
          <t>Patient letters (names, addresses, program info)</t>
        </is>
      </c>
      <c r="D17" s="11" t="inlineStr">
        <is>
          <t>Jorge Almeida</t>
        </is>
      </c>
      <c r="E17" s="11" t="n">
        <v>3</v>
      </c>
      <c r="F17" s="11" t="n">
        <v>2</v>
      </c>
      <c r="G17" s="11" t="n">
        <v>2</v>
      </c>
      <c r="H17" s="11" t="n">
        <v>1</v>
      </c>
      <c r="I17" s="11" t="n">
        <v>0</v>
      </c>
      <c r="J17" s="11">
        <f>SUM(E17:I17)</f>
        <v/>
      </c>
      <c r="K17" s="11">
        <f>IF(J17&gt;=9,1,IF(J17&gt;=5,2,3))</f>
        <v/>
      </c>
      <c r="L17" s="13" t="n"/>
      <c r="M17" s="11">
        <f>IF(K17=1,12,IF(K17=2,24,36))</f>
        <v/>
      </c>
      <c r="N17" s="13">
        <f>IF(L17="","",DATE(YEAR(L17),MONTH(L17)+M17,MIN(DAY(L17),28)))</f>
        <v/>
      </c>
      <c r="O17" s="11">
        <f>IF(L17="","No (never)",IF(N17&lt;README!$B$4,"No (overdue)","Yes"))</f>
        <v/>
      </c>
      <c r="P17" s="12" t="inlineStr">
        <is>
          <t>Never assessed</t>
        </is>
      </c>
      <c r="Q17" s="11" t="inlineStr">
        <is>
          <t>BAA executed 2023; no timeline</t>
        </is>
      </c>
      <c r="R17" s="11" t="inlineStr">
        <is>
          <t>No</t>
        </is>
      </c>
      <c r="S17" s="11" t="inlineStr">
        <is>
          <t>No (fictional)</t>
        </is>
      </c>
    </row>
  </sheetData>
  <autoFilter ref="A1:S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1" customWidth="1" min="6" max="6"/>
    <col width="16" customWidth="1" min="7" max="7"/>
    <col width="16" customWidth="1" min="8" max="8"/>
    <col width="16" customWidth="1" min="9" max="9"/>
    <col width="16" customWidth="1" min="10" max="10"/>
    <col width="16" customWidth="1" min="11" max="11"/>
    <col width="16" customWidth="1" min="12" max="12"/>
  </cols>
  <sheetData>
    <row r="1" ht="32" customHeight="1">
      <c r="A1" s="10" t="inlineStr">
        <is>
          <t>Question ID</t>
        </is>
      </c>
      <c r="B1" s="10" t="inlineStr">
        <is>
          <t>Security Domain</t>
        </is>
      </c>
      <c r="C1" s="10" t="inlineStr">
        <is>
          <t>Requirement</t>
        </is>
      </c>
      <c r="D1" s="10" t="inlineStr">
        <is>
          <t>Vendor Response</t>
        </is>
      </c>
      <c r="E1" s="10" t="inlineStr">
        <is>
          <t>Evidence</t>
        </is>
      </c>
      <c r="F1" s="10" t="inlineStr">
        <is>
          <t>Assessor Evaluation</t>
        </is>
      </c>
      <c r="G1" s="10" t="inlineStr">
        <is>
          <t>Risk Identified</t>
        </is>
      </c>
      <c r="H1" s="10" t="inlineStr">
        <is>
          <t>Severity</t>
        </is>
      </c>
      <c r="I1" s="10" t="inlineStr">
        <is>
          <t>Recommendation</t>
        </is>
      </c>
      <c r="J1" s="10" t="inlineStr">
        <is>
          <t>Owner</t>
        </is>
      </c>
      <c r="K1" s="10" t="inlineStr">
        <is>
          <t>Status</t>
        </is>
      </c>
      <c r="L1" s="10" t="inlineStr">
        <is>
          <t>Vendor Finding</t>
        </is>
      </c>
    </row>
    <row r="2">
      <c r="A2" s="11" t="inlineStr">
        <is>
          <t>VQ-01</t>
        </is>
      </c>
      <c r="B2" s="11" t="inlineStr">
        <is>
          <t>Security governance</t>
        </is>
      </c>
      <c r="C2" s="11" t="inlineStr">
        <is>
          <t>Named security leader, approved policy set reviewed annually, executive oversight</t>
        </is>
      </c>
      <c r="D2" s="11" t="inlineStr">
        <is>
          <t>CISO in place since 2022; ISO 27001-aligned policy set reviewed 2026-01; quarterly board security update</t>
        </is>
      </c>
      <c r="E2" s="11" t="inlineStr">
        <is>
          <t>Policy index; org chart</t>
        </is>
      </c>
      <c r="F2" s="11" t="inlineStr">
        <is>
          <t>Satisfactory</t>
        </is>
      </c>
      <c r="G2" s="11" t="inlineStr">
        <is>
          <t>None</t>
        </is>
      </c>
      <c r="H2" s="11" t="inlineStr"/>
      <c r="I2" s="11" t="inlineStr"/>
      <c r="J2" s="11" t="inlineStr"/>
      <c r="K2" s="11" t="inlineStr">
        <is>
          <t>Closed (satisfactory)</t>
        </is>
      </c>
      <c r="L2" s="11" t="inlineStr"/>
    </row>
    <row r="3">
      <c r="A3" s="11" t="inlineStr">
        <is>
          <t>VQ-02</t>
        </is>
      </c>
      <c r="B3" s="11" t="inlineStr">
        <is>
          <t>Risk management</t>
        </is>
      </c>
      <c r="C3" s="11" t="inlineStr">
        <is>
          <t>Annual risk assessment with tracked treatments</t>
        </is>
      </c>
      <c r="D3" s="11" t="inlineStr">
        <is>
          <t>Annual risk assessment (2026-02); risk register maintained</t>
        </is>
      </c>
      <c r="E3" s="11" t="inlineStr">
        <is>
          <t>Risk assessment summary (redacted)</t>
        </is>
      </c>
      <c r="F3" s="11" t="inlineStr">
        <is>
          <t>Satisfactory</t>
        </is>
      </c>
      <c r="G3" s="11" t="inlineStr">
        <is>
          <t>None</t>
        </is>
      </c>
      <c r="H3" s="11" t="inlineStr"/>
      <c r="I3" s="11" t="inlineStr"/>
      <c r="J3" s="11" t="inlineStr"/>
      <c r="K3" s="11" t="inlineStr">
        <is>
          <t>Closed (satisfactory)</t>
        </is>
      </c>
      <c r="L3" s="11" t="inlineStr"/>
    </row>
    <row r="4">
      <c r="A4" s="11" t="inlineStr">
        <is>
          <t>VQ-03</t>
        </is>
      </c>
      <c r="B4" s="11" t="inlineStr">
        <is>
          <t>Certifications and attestations</t>
        </is>
      </c>
      <c r="C4" s="11" t="inlineStr">
        <is>
          <t>Current SOC 2 Type II (or ISO 27001) covering services used</t>
        </is>
      </c>
      <c r="D4" s="11" t="inlineStr">
        <is>
          <t>SOC 2 Type II 2024-10-01 to 2025-09-30; bridge letter to 2026-03-31; next report expected 2026-12</t>
        </is>
      </c>
      <c r="E4" s="11" t="inlineStr">
        <is>
          <t>EVID-050</t>
        </is>
      </c>
      <c r="F4" s="11" t="inlineStr">
        <is>
          <t>Partially Satisfactory</t>
        </is>
      </c>
      <c r="G4" s="11" t="inlineStr">
        <is>
          <t>SOC 2 exceptions (access reviews, change approvals)</t>
        </is>
      </c>
      <c r="H4" s="11" t="inlineStr">
        <is>
          <t>Low</t>
        </is>
      </c>
      <c r="I4" s="11" t="inlineStr">
        <is>
          <t>Monitor: obtain next SOC 2 (expected 2026-12) and confirm exceptions resolved</t>
        </is>
      </c>
      <c r="J4" s="11" t="inlineStr">
        <is>
          <t>Beth Kowalski</t>
        </is>
      </c>
      <c r="K4" s="11" t="inlineStr">
        <is>
          <t>Monitor</t>
        </is>
      </c>
      <c r="L4" s="11" t="inlineStr">
        <is>
          <t>VR-006</t>
        </is>
      </c>
    </row>
    <row r="5">
      <c r="A5" s="11" t="inlineStr">
        <is>
          <t>VQ-04</t>
        </is>
      </c>
      <c r="B5" s="11" t="inlineStr">
        <is>
          <t>Access control</t>
        </is>
      </c>
      <c r="C5" s="11" t="inlineStr">
        <is>
          <t>Timely provisioning/deprovisioning and periodic reviews of staff with customer-data access</t>
        </is>
      </c>
      <c r="D5" s="11" t="inlineStr">
        <is>
          <t>Quarterly reviews; SOC 2 notes 1 of 4 quarters missed (management response: automation added)</t>
        </is>
      </c>
      <c r="E5" s="11" t="inlineStr">
        <is>
          <t>SOC 2 section 4 exception</t>
        </is>
      </c>
      <c r="F5" s="11" t="inlineStr">
        <is>
          <t>Partially Satisfactory</t>
        </is>
      </c>
      <c r="G5" s="11" t="inlineStr">
        <is>
          <t>SOC 2 exceptions (access reviews, change approvals)</t>
        </is>
      </c>
      <c r="H5" s="11" t="inlineStr">
        <is>
          <t>Low</t>
        </is>
      </c>
      <c r="I5" s="11" t="inlineStr">
        <is>
          <t>Monitor: obtain next SOC 2 (expected 2026-12) and confirm exceptions resolved</t>
        </is>
      </c>
      <c r="J5" s="11" t="inlineStr">
        <is>
          <t>Beth Kowalski</t>
        </is>
      </c>
      <c r="K5" s="11" t="inlineStr">
        <is>
          <t>Monitor</t>
        </is>
      </c>
      <c r="L5" s="11" t="inlineStr">
        <is>
          <t>VR-006</t>
        </is>
      </c>
    </row>
    <row r="6">
      <c r="A6" s="11" t="inlineStr">
        <is>
          <t>VQ-05</t>
        </is>
      </c>
      <c r="B6" s="11" t="inlineStr">
        <is>
          <t>Access control</t>
        </is>
      </c>
      <c r="C6" s="11" t="inlineStr">
        <is>
          <t>Least privilege for production customer data</t>
        </is>
      </c>
      <c r="D6" s="11" t="inlineStr">
        <is>
          <t>Role-based; 14 US staff plus the subcontractor team have production read access</t>
        </is>
      </c>
      <c r="E6" s="11" t="inlineStr">
        <is>
          <t>Role list (counts only)</t>
        </is>
      </c>
      <c r="F6" s="11" t="inlineStr">
        <is>
          <t>Partially Satisfactory</t>
        </is>
      </c>
      <c r="G6" s="11" t="inlineStr">
        <is>
          <t>Undisclosed offshore subcontractor with production access to Wrenfield PHI</t>
        </is>
      </c>
      <c r="H6" s="11" t="inlineStr">
        <is>
          <t>Critical</t>
        </is>
      </c>
      <c r="I6" s="11" t="inlineStr">
        <is>
          <t>Immediate suspension of offshore access to Wrenfield data; contract amendment requiring US-only access with technical enforcement (geo-restricted IdP policy, US-only support roster) and access-log attestation quarterly</t>
        </is>
      </c>
      <c r="J6" s="11" t="inlineStr">
        <is>
          <t>Quarrystone CISO / Miriam Castell</t>
        </is>
      </c>
      <c r="K6" s="11" t="inlineStr">
        <is>
          <t>Interim contained (offshore access suspended 2026-07-24); contractual fix open</t>
        </is>
      </c>
      <c r="L6" s="11" t="inlineStr">
        <is>
          <t>VR-001</t>
        </is>
      </c>
    </row>
    <row r="7">
      <c r="A7" s="11" t="inlineStr">
        <is>
          <t>VQ-06</t>
        </is>
      </c>
      <c r="B7" s="11" t="inlineStr">
        <is>
          <t>MFA</t>
        </is>
      </c>
      <c r="C7" s="11" t="inlineStr">
        <is>
          <t>MFA for all workforce and privileged access</t>
        </is>
      </c>
      <c r="D7" s="11" t="inlineStr">
        <is>
          <t>SSO with MFA for all staff; FIDO2 required for admins</t>
        </is>
      </c>
      <c r="E7" s="11" t="inlineStr">
        <is>
          <t>IdP policy screenshot (dated) + SOC 2 CC6.1 no exceptions</t>
        </is>
      </c>
      <c r="F7" s="11" t="inlineStr">
        <is>
          <t>Satisfactory</t>
        </is>
      </c>
      <c r="G7" s="11" t="inlineStr">
        <is>
          <t>None</t>
        </is>
      </c>
      <c r="H7" s="11" t="inlineStr"/>
      <c r="I7" s="11" t="inlineStr"/>
      <c r="J7" s="11" t="inlineStr"/>
      <c r="K7" s="11" t="inlineStr">
        <is>
          <t>Closed (satisfactory)</t>
        </is>
      </c>
      <c r="L7" s="11" t="inlineStr"/>
    </row>
    <row r="8">
      <c r="A8" s="11" t="inlineStr">
        <is>
          <t>VQ-07</t>
        </is>
      </c>
      <c r="B8" s="11" t="inlineStr">
        <is>
          <t>MFA</t>
        </is>
      </c>
      <c r="C8" s="11" t="inlineStr">
        <is>
          <t>Customer portal supports SSO/MFA</t>
        </is>
      </c>
      <c r="D8" s="11" t="inlineStr">
        <is>
          <t>Portal uses local accounts with optional TOTP; SAML SSO available on Enterprise tier only</t>
        </is>
      </c>
      <c r="E8" s="11" t="inlineStr">
        <is>
          <t>Product documentation</t>
        </is>
      </c>
      <c r="F8" s="11" t="inlineStr">
        <is>
          <t>Unsatisfactory</t>
        </is>
      </c>
      <c r="G8" s="11" t="inlineStr">
        <is>
          <t>Wrenfield not performing SOC 2 CUEC for portal user management; no SSO</t>
        </is>
      </c>
      <c r="H8" s="11" t="inlineStr">
        <is>
          <t>Moderate</t>
        </is>
      </c>
      <c r="I8" s="11" t="inlineStr">
        <is>
          <t>Add portal to quarterly certification and JML checklist (done); budget SAML SSO at renewal</t>
        </is>
      </c>
      <c r="J8" s="11" t="inlineStr">
        <is>
          <t>Liam Porter</t>
        </is>
      </c>
      <c r="K8" s="11" t="inlineStr">
        <is>
          <t>Partially remediated (review + JML done; SSO at 2027 renewal)</t>
        </is>
      </c>
      <c r="L8" s="11" t="inlineStr">
        <is>
          <t>VR-007</t>
        </is>
      </c>
    </row>
    <row r="9">
      <c r="A9" s="11" t="inlineStr">
        <is>
          <t>VQ-08</t>
        </is>
      </c>
      <c r="B9" s="11" t="inlineStr">
        <is>
          <t>Encryption</t>
        </is>
      </c>
      <c r="C9" s="11" t="inlineStr">
        <is>
          <t>Encryption in transit (TLS 1.2+ / SFTP)</t>
        </is>
      </c>
      <c r="D9" s="11" t="inlineStr">
        <is>
          <t>SFTP (SSH) inbound; TLS 1.2+ API</t>
        </is>
      </c>
      <c r="E9" s="11" t="inlineStr">
        <is>
          <t>TLS scan by assessor (API endpoint)</t>
        </is>
      </c>
      <c r="F9" s="11" t="inlineStr">
        <is>
          <t>Satisfactory</t>
        </is>
      </c>
      <c r="G9" s="11" t="inlineStr">
        <is>
          <t>None</t>
        </is>
      </c>
      <c r="H9" s="11" t="inlineStr"/>
      <c r="I9" s="11" t="inlineStr"/>
      <c r="J9" s="11" t="inlineStr"/>
      <c r="K9" s="11" t="inlineStr">
        <is>
          <t>Closed (satisfactory)</t>
        </is>
      </c>
      <c r="L9" s="11" t="inlineStr"/>
    </row>
    <row r="10">
      <c r="A10" s="11" t="inlineStr">
        <is>
          <t>VQ-09</t>
        </is>
      </c>
      <c r="B10" s="11" t="inlineStr">
        <is>
          <t>Encryption</t>
        </is>
      </c>
      <c r="C10" s="11" t="inlineStr">
        <is>
          <t>Encryption at rest with managed keys</t>
        </is>
      </c>
      <c r="D10" s="11" t="inlineStr">
        <is>
          <t>AES-256 at rest in warehouse and object storage; cloud KMS; annual rotation</t>
        </is>
      </c>
      <c r="E10" s="11" t="inlineStr">
        <is>
          <t>SOC 2 CC6.1/CC6.7 no exceptions</t>
        </is>
      </c>
      <c r="F10" s="11" t="inlineStr">
        <is>
          <t>Satisfactory</t>
        </is>
      </c>
      <c r="G10" s="11" t="inlineStr">
        <is>
          <t>None</t>
        </is>
      </c>
      <c r="H10" s="11" t="inlineStr"/>
      <c r="I10" s="11" t="inlineStr"/>
      <c r="J10" s="11" t="inlineStr"/>
      <c r="K10" s="11" t="inlineStr">
        <is>
          <t>Closed (satisfactory)</t>
        </is>
      </c>
      <c r="L10" s="11" t="inlineStr"/>
    </row>
    <row r="11">
      <c r="A11" s="11" t="inlineStr">
        <is>
          <t>VQ-10</t>
        </is>
      </c>
      <c r="B11" s="11" t="inlineStr">
        <is>
          <t>Encryption</t>
        </is>
      </c>
      <c r="C11" s="11" t="inlineStr">
        <is>
          <t>Customer data segregation</t>
        </is>
      </c>
      <c r="D11" s="11" t="inlineStr">
        <is>
          <t>Schema-per-client logical separation; shared keys</t>
        </is>
      </c>
      <c r="E11" s="11" t="inlineStr">
        <is>
          <t>Architecture diagram</t>
        </is>
      </c>
      <c r="F11" s="11" t="inlineStr">
        <is>
          <t>Partially Satisfactory</t>
        </is>
      </c>
      <c r="G11" s="11" t="inlineStr">
        <is>
          <t>None</t>
        </is>
      </c>
      <c r="H11" s="11" t="inlineStr"/>
      <c r="I11" s="11" t="inlineStr"/>
      <c r="J11" s="11" t="inlineStr"/>
      <c r="K11" s="11" t="inlineStr">
        <is>
          <t>Closed (satisfactory)</t>
        </is>
      </c>
      <c r="L11" s="11" t="inlineStr"/>
    </row>
    <row r="12">
      <c r="A12" s="11" t="inlineStr">
        <is>
          <t>VQ-11</t>
        </is>
      </c>
      <c r="B12" s="11" t="inlineStr">
        <is>
          <t>Vulnerability management</t>
        </is>
      </c>
      <c r="C12" s="11" t="inlineStr">
        <is>
          <t>Scanning with defined remediation SLAs</t>
        </is>
      </c>
      <c r="D12" s="11" t="inlineStr">
        <is>
          <t>Monthly authenticated scans; Critical 30 days, High 60</t>
        </is>
      </c>
      <c r="E12" s="11" t="inlineStr">
        <is>
          <t>Vulnerability management standard</t>
        </is>
      </c>
      <c r="F12" s="11" t="inlineStr">
        <is>
          <t>Satisfactory</t>
        </is>
      </c>
      <c r="G12" s="11" t="inlineStr">
        <is>
          <t>None</t>
        </is>
      </c>
      <c r="H12" s="11" t="inlineStr"/>
      <c r="I12" s="11" t="inlineStr"/>
      <c r="J12" s="11" t="inlineStr"/>
      <c r="K12" s="11" t="inlineStr">
        <is>
          <t>Closed (satisfactory)</t>
        </is>
      </c>
      <c r="L12" s="11" t="inlineStr"/>
    </row>
    <row r="13">
      <c r="A13" s="11" t="inlineStr">
        <is>
          <t>VQ-12</t>
        </is>
      </c>
      <c r="B13" s="11" t="inlineStr">
        <is>
          <t>Penetration testing</t>
        </is>
      </c>
      <c r="C13" s="11" t="inlineStr">
        <is>
          <t>Annual independent penetration test with retest evidence</t>
        </is>
      </c>
      <c r="D13" s="11" t="inlineStr">
        <is>
          <t>Last external test 2025-03; 1 High finding 'remediated'; summary letter only</t>
        </is>
      </c>
      <c r="E13" s="11" t="inlineStr">
        <is>
          <t>Summary letter; full report requested (EVID-051)</t>
        </is>
      </c>
      <c r="F13" s="11" t="inlineStr">
        <is>
          <t>Unsatisfactory</t>
        </is>
      </c>
      <c r="G13" s="11" t="inlineStr">
        <is>
          <t>Penetration test evidence stale and incomplete</t>
        </is>
      </c>
      <c r="H13" s="11" t="inlineStr">
        <is>
          <t>Moderate</t>
        </is>
      </c>
      <c r="I13" s="11" t="inlineStr">
        <is>
          <t>Provide full report (under NDA) or detailed executive summary with finding list and retest letter; annual testing clause in amendment</t>
        </is>
      </c>
      <c r="J13" s="11" t="inlineStr">
        <is>
          <t>Quarrystone CISO</t>
        </is>
      </c>
      <c r="K13" s="11" t="inlineStr">
        <is>
          <t>Evidence requested (EVID-051, overdue)</t>
        </is>
      </c>
      <c r="L13" s="11" t="inlineStr">
        <is>
          <t>VR-004</t>
        </is>
      </c>
    </row>
    <row r="14">
      <c r="A14" s="11" t="inlineStr">
        <is>
          <t>VQ-13</t>
        </is>
      </c>
      <c r="B14" s="11" t="inlineStr">
        <is>
          <t>Secure development</t>
        </is>
      </c>
      <c r="C14" s="11" t="inlineStr">
        <is>
          <t>SAST, code review, dependency scanning</t>
        </is>
      </c>
      <c r="D14" s="11" t="inlineStr">
        <is>
          <t>SAST and dependency scanning in CI; 2-person review</t>
        </is>
      </c>
      <c r="E14" s="11" t="inlineStr">
        <is>
          <t>SDLC standard</t>
        </is>
      </c>
      <c r="F14" s="11" t="inlineStr">
        <is>
          <t>Satisfactory</t>
        </is>
      </c>
      <c r="G14" s="11" t="inlineStr">
        <is>
          <t>None</t>
        </is>
      </c>
      <c r="H14" s="11" t="inlineStr"/>
      <c r="I14" s="11" t="inlineStr"/>
      <c r="J14" s="11" t="inlineStr"/>
      <c r="K14" s="11" t="inlineStr">
        <is>
          <t>Closed (satisfactory)</t>
        </is>
      </c>
      <c r="L14" s="11" t="inlineStr"/>
    </row>
    <row r="15">
      <c r="A15" s="11" t="inlineStr">
        <is>
          <t>VQ-14</t>
        </is>
      </c>
      <c r="B15" s="11" t="inlineStr">
        <is>
          <t>Supply-chain risk</t>
        </is>
      </c>
      <c r="C15" s="11" t="inlineStr">
        <is>
          <t>SBOM and third-party component governance</t>
        </is>
      </c>
      <c r="D15" s="11" t="inlineStr">
        <is>
          <t>No SBOM produced; dependency scanning only</t>
        </is>
      </c>
      <c r="E15" s="11" t="inlineStr">
        <is>
          <t>Interview</t>
        </is>
      </c>
      <c r="F15" s="11" t="inlineStr">
        <is>
          <t>Partially Satisfactory</t>
        </is>
      </c>
      <c r="G15" s="11" t="inlineStr">
        <is>
          <t>No SBOM for vendor software</t>
        </is>
      </c>
      <c r="H15" s="11" t="inlineStr">
        <is>
          <t>Low</t>
        </is>
      </c>
      <c r="I15" s="11" t="inlineStr">
        <is>
          <t>Request SBOM availability on the roadmap; revisit at 2027 renewal</t>
        </is>
      </c>
      <c r="J15" s="11" t="inlineStr">
        <is>
          <t>Beth Kowalski</t>
        </is>
      </c>
      <c r="K15" s="11" t="inlineStr">
        <is>
          <t>Monitor</t>
        </is>
      </c>
      <c r="L15" s="11" t="inlineStr">
        <is>
          <t>VR-011</t>
        </is>
      </c>
    </row>
    <row r="16">
      <c r="A16" s="11" t="inlineStr">
        <is>
          <t>VQ-15</t>
        </is>
      </c>
      <c r="B16" s="11" t="inlineStr">
        <is>
          <t>Incident response</t>
        </is>
      </c>
      <c r="C16" s="11" t="inlineStr">
        <is>
          <t>Documented IR plan tested annually</t>
        </is>
      </c>
      <c r="D16" s="11" t="inlineStr">
        <is>
          <t>IR plan; tabletop 2026-02</t>
        </is>
      </c>
      <c r="E16" s="11" t="inlineStr">
        <is>
          <t>After-action summary</t>
        </is>
      </c>
      <c r="F16" s="11" t="inlineStr">
        <is>
          <t>Satisfactory</t>
        </is>
      </c>
      <c r="G16" s="11" t="inlineStr">
        <is>
          <t>None</t>
        </is>
      </c>
      <c r="H16" s="11" t="inlineStr"/>
      <c r="I16" s="11" t="inlineStr"/>
      <c r="J16" s="11" t="inlineStr"/>
      <c r="K16" s="11" t="inlineStr">
        <is>
          <t>Closed (satisfactory)</t>
        </is>
      </c>
      <c r="L16" s="11" t="inlineStr"/>
    </row>
    <row r="17">
      <c r="A17" s="11" t="inlineStr">
        <is>
          <t>VQ-16</t>
        </is>
      </c>
      <c r="B17" s="11" t="inlineStr">
        <is>
          <t>Breach notification</t>
        </is>
      </c>
      <c r="C17" s="11" t="inlineStr">
        <is>
          <t>Notify Wrenfield of security incidents affecting its data within 24 hours of discovery</t>
        </is>
      </c>
      <c r="D17" s="11" t="inlineStr">
        <is>
          <t>BAA: 'without unreasonable delay and no later than 30 days'</t>
        </is>
      </c>
      <c r="E17" s="11" t="inlineStr">
        <is>
          <t>BAA §4.2</t>
        </is>
      </c>
      <c r="F17" s="11" t="inlineStr">
        <is>
          <t>Unsatisfactory</t>
        </is>
      </c>
      <c r="G17" s="11" t="inlineStr">
        <is>
          <t>Breach notification term of 30 days</t>
        </is>
      </c>
      <c r="H17" s="11" t="inlineStr">
        <is>
          <t>High</t>
        </is>
      </c>
      <c r="I17" s="11" t="inlineStr">
        <is>
          <t>Amend BAA to 24h notice of suspected or confirmed incidents affecting Wrenfield data, with defined content and updates</t>
        </is>
      </c>
      <c r="J17" s="11" t="inlineStr">
        <is>
          <t>Theo Anand (General Counsel)</t>
        </is>
      </c>
      <c r="K17" s="11" t="inlineStr">
        <is>
          <t>In negotiation (redline v3)</t>
        </is>
      </c>
      <c r="L17" s="11" t="inlineStr">
        <is>
          <t>VR-002</t>
        </is>
      </c>
    </row>
    <row r="18">
      <c r="A18" s="11" t="inlineStr">
        <is>
          <t>VQ-17</t>
        </is>
      </c>
      <c r="B18" s="11" t="inlineStr">
        <is>
          <t>Incident response</t>
        </is>
      </c>
      <c r="C18" s="11" t="inlineStr">
        <is>
          <t>Cooperate with customer investigations, including log provision</t>
        </is>
      </c>
      <c r="D18" s="11" t="inlineStr">
        <is>
          <t>'Reasonable cooperation'; no commitment to provide logs</t>
        </is>
      </c>
      <c r="E18" s="11" t="inlineStr">
        <is>
          <t>MSA §9</t>
        </is>
      </c>
      <c r="F18" s="11" t="inlineStr">
        <is>
          <t>Partially Satisfactory</t>
        </is>
      </c>
      <c r="G18" s="11" t="inlineStr">
        <is>
          <t>Access logs kept 90 days; no commitment to support investigations</t>
        </is>
      </c>
      <c r="H18" s="11" t="inlineStr">
        <is>
          <t>Moderate</t>
        </is>
      </c>
      <c r="I18" s="11" t="inlineStr">
        <is>
          <t>12-month log retention for access to Wrenfield data; contractual log provision within 5 business days of request</t>
        </is>
      </c>
      <c r="J18" s="11" t="inlineStr">
        <is>
          <t>Theo Anand (General Counsel)</t>
        </is>
      </c>
      <c r="K18" s="11" t="inlineStr">
        <is>
          <t>In negotiation</t>
        </is>
      </c>
      <c r="L18" s="11" t="inlineStr">
        <is>
          <t>VR-009</t>
        </is>
      </c>
    </row>
    <row r="19">
      <c r="A19" s="11" t="inlineStr">
        <is>
          <t>VQ-18</t>
        </is>
      </c>
      <c r="B19" s="11" t="inlineStr">
        <is>
          <t>Business continuity</t>
        </is>
      </c>
      <c r="C19" s="11" t="inlineStr">
        <is>
          <t>BC/DR plan with RTO/RPO appropriate to the service</t>
        </is>
      </c>
      <c r="D19" s="11" t="inlineStr">
        <is>
          <t>RTO 72h / RPO 24h; tested 2026-01</t>
        </is>
      </c>
      <c r="E19" s="11" t="inlineStr">
        <is>
          <t>BC/DR summary</t>
        </is>
      </c>
      <c r="F19" s="11" t="inlineStr">
        <is>
          <t>Satisfactory</t>
        </is>
      </c>
      <c r="G19" s="11" t="inlineStr">
        <is>
          <t>None (Acceptable: WCP has a rules-based fallback for scores)</t>
        </is>
      </c>
      <c r="H19" s="11" t="inlineStr"/>
      <c r="I19" s="11" t="inlineStr"/>
      <c r="J19" s="11" t="inlineStr"/>
      <c r="K19" s="11" t="inlineStr">
        <is>
          <t>Closed (satisfactory)</t>
        </is>
      </c>
      <c r="L19" s="11" t="inlineStr"/>
    </row>
    <row r="20">
      <c r="A20" s="11" t="inlineStr">
        <is>
          <t>VQ-19</t>
        </is>
      </c>
      <c r="B20" s="11" t="inlineStr">
        <is>
          <t>Backups</t>
        </is>
      </c>
      <c r="C20" s="11" t="inlineStr">
        <is>
          <t>Backups with immutability and restore testing</t>
        </is>
      </c>
      <c r="D20" s="11" t="inlineStr">
        <is>
          <t>Daily backups, 30-day retention, immutable; restore tested 2026-01</t>
        </is>
      </c>
      <c r="E20" s="11" t="inlineStr">
        <is>
          <t>SOC 2 A1.2 no exceptions</t>
        </is>
      </c>
      <c r="F20" s="11" t="inlineStr">
        <is>
          <t>Satisfactory</t>
        </is>
      </c>
      <c r="G20" s="11" t="inlineStr">
        <is>
          <t>None</t>
        </is>
      </c>
      <c r="H20" s="11" t="inlineStr"/>
      <c r="I20" s="11" t="inlineStr"/>
      <c r="J20" s="11" t="inlineStr"/>
      <c r="K20" s="11" t="inlineStr">
        <is>
          <t>Closed (satisfactory)</t>
        </is>
      </c>
      <c r="L20" s="11" t="inlineStr"/>
    </row>
    <row r="21">
      <c r="A21" s="11" t="inlineStr">
        <is>
          <t>VQ-20</t>
        </is>
      </c>
      <c r="B21" s="11" t="inlineStr">
        <is>
          <t>Logging</t>
        </is>
      </c>
      <c r="C21" s="11" t="inlineStr">
        <is>
          <t>Log access to customer data; retain at least 12 months</t>
        </is>
      </c>
      <c r="D21" s="11" t="inlineStr">
        <is>
          <t>Access logs retained 90 days</t>
        </is>
      </c>
      <c r="E21" s="11" t="inlineStr">
        <is>
          <t>Interview</t>
        </is>
      </c>
      <c r="F21" s="11" t="inlineStr">
        <is>
          <t>Partially Satisfactory</t>
        </is>
      </c>
      <c r="G21" s="11" t="inlineStr">
        <is>
          <t>Access logs kept 90 days; no commitment to support investigations</t>
        </is>
      </c>
      <c r="H21" s="11" t="inlineStr">
        <is>
          <t>Moderate</t>
        </is>
      </c>
      <c r="I21" s="11" t="inlineStr">
        <is>
          <t>12-month log retention for access to Wrenfield data; contractual log provision within 5 business days of request</t>
        </is>
      </c>
      <c r="J21" s="11" t="inlineStr">
        <is>
          <t>Theo Anand (General Counsel)</t>
        </is>
      </c>
      <c r="K21" s="11" t="inlineStr">
        <is>
          <t>In negotiation</t>
        </is>
      </c>
      <c r="L21" s="11" t="inlineStr">
        <is>
          <t>VR-009</t>
        </is>
      </c>
    </row>
    <row r="22">
      <c r="A22" s="11" t="inlineStr">
        <is>
          <t>VQ-21</t>
        </is>
      </c>
      <c r="B22" s="11" t="inlineStr">
        <is>
          <t>Privacy</t>
        </is>
      </c>
      <c r="C22" s="11" t="inlineStr">
        <is>
          <t>Receive only data needed for the service (minimum necessary)</t>
        </is>
      </c>
      <c r="D22" s="11" t="inlineStr">
        <is>
          <t>Model uses 31 of 58 fields; address, phone, email, free-text notes unused but received</t>
        </is>
      </c>
      <c r="E22" s="11" t="inlineStr">
        <is>
          <t>Feature list from Head of Data Engineering</t>
        </is>
      </c>
      <c r="F22" s="11" t="inlineStr">
        <is>
          <t>Unsatisfactory</t>
        </is>
      </c>
      <c r="G22" s="11" t="inlineStr">
        <is>
          <t>Extract exceeds minimum necessary (27 of 58 fields unused)</t>
        </is>
      </c>
      <c r="H22" s="11" t="inlineStr">
        <is>
          <t>High</t>
        </is>
      </c>
      <c r="I22" s="11" t="inlineStr">
        <is>
          <t>Redesign extract to 31 required fields; replace direct identifiers with tokenized IDs; re-validate model on minimized data</t>
        </is>
      </c>
      <c r="J22" s="11" t="inlineStr">
        <is>
          <t>Liam Porter (Data Engineering)</t>
        </is>
      </c>
      <c r="K22" s="11" t="inlineStr">
        <is>
          <t>In progress (target 2026-10-16)</t>
        </is>
      </c>
      <c r="L22" s="11" t="inlineStr">
        <is>
          <t>VR-003</t>
        </is>
      </c>
    </row>
    <row r="23">
      <c r="A23" s="11" t="inlineStr">
        <is>
          <t>VQ-22</t>
        </is>
      </c>
      <c r="B23" s="11" t="inlineStr">
        <is>
          <t>Privacy</t>
        </is>
      </c>
      <c r="C23" s="11" t="inlineStr">
        <is>
          <t>No secondary use of Wrenfield data without written permission</t>
        </is>
      </c>
      <c r="D23" s="11" t="inlineStr">
        <is>
          <t>De-identified (Safe Harbor) pooled data used to improve cross-client models, per vendor MSA §12</t>
        </is>
      </c>
      <c r="E23" s="11" t="inlineStr">
        <is>
          <t>MSA §12; de-identification procedure</t>
        </is>
      </c>
      <c r="F23" s="11" t="inlineStr">
        <is>
          <t>Partially Satisfactory</t>
        </is>
      </c>
      <c r="G23" s="11" t="inlineStr">
        <is>
          <t>Secondary use of pooled de-identified data</t>
        </is>
      </c>
      <c r="H23" s="11" t="inlineStr">
        <is>
          <t>Moderate</t>
        </is>
      </c>
      <c r="I23" s="11" t="inlineStr">
        <is>
          <t>General Counsel opinion; either opt Wrenfield data out of pooling or confirm customer BAAs permit it and disclose</t>
        </is>
      </c>
      <c r="J23" s="11" t="inlineStr">
        <is>
          <t>Theo Anand (General Counsel)</t>
        </is>
      </c>
      <c r="K23" s="11" t="inlineStr">
        <is>
          <t>Legal review in progress</t>
        </is>
      </c>
      <c r="L23" s="11" t="inlineStr">
        <is>
          <t>VR-010</t>
        </is>
      </c>
    </row>
    <row r="24">
      <c r="A24" s="11" t="inlineStr">
        <is>
          <t>VQ-23</t>
        </is>
      </c>
      <c r="B24" s="11" t="inlineStr">
        <is>
          <t>Data location</t>
        </is>
      </c>
      <c r="C24" s="11" t="inlineStr">
        <is>
          <t>US-only storage AND access (SHCA CSA §6.1; 2 customer BAAs)</t>
        </is>
      </c>
      <c r="D24" s="11" t="inlineStr">
        <is>
          <t>Storage in US region. Initially answered 'US staff only'; interview revealed offshore subcontractor production access</t>
        </is>
      </c>
      <c r="E24" s="11" t="inlineStr">
        <is>
          <t>Interview 2026-07-14; subcontractor agreement</t>
        </is>
      </c>
      <c r="F24" s="11" t="inlineStr">
        <is>
          <t>Unsatisfactory</t>
        </is>
      </c>
      <c r="G24" s="11" t="inlineStr">
        <is>
          <t>Undisclosed offshore subcontractor with production access to Wrenfield PHI</t>
        </is>
      </c>
      <c r="H24" s="11" t="inlineStr">
        <is>
          <t>Critical</t>
        </is>
      </c>
      <c r="I24" s="11" t="inlineStr">
        <is>
          <t>Immediate suspension of offshore access to Wrenfield data; contract amendment requiring US-only access with technical enforcement (geo-restricted IdP policy, US-only support roster) and access-log attestation quarterly</t>
        </is>
      </c>
      <c r="J24" s="11" t="inlineStr">
        <is>
          <t>Quarrystone CISO / Miriam Castell</t>
        </is>
      </c>
      <c r="K24" s="11" t="inlineStr">
        <is>
          <t>Interim contained (offshore access suspended 2026-07-24); contractual fix open</t>
        </is>
      </c>
      <c r="L24" s="11" t="inlineStr">
        <is>
          <t>VR-001</t>
        </is>
      </c>
    </row>
    <row r="25">
      <c r="A25" s="11" t="inlineStr">
        <is>
          <t>VQ-24</t>
        </is>
      </c>
      <c r="B25" s="11" t="inlineStr">
        <is>
          <t>Privacy</t>
        </is>
      </c>
      <c r="C25" s="11" t="inlineStr">
        <is>
          <t>Documented de-identification method</t>
        </is>
      </c>
      <c r="D25" s="11" t="inlineStr">
        <is>
          <t>HIPAA Safe Harbor procedure, annual review</t>
        </is>
      </c>
      <c r="E25" s="11" t="inlineStr">
        <is>
          <t>Procedure document</t>
        </is>
      </c>
      <c r="F25" s="11" t="inlineStr">
        <is>
          <t>Satisfactory</t>
        </is>
      </c>
      <c r="G25" s="11" t="inlineStr">
        <is>
          <t>None</t>
        </is>
      </c>
      <c r="H25" s="11" t="inlineStr"/>
      <c r="I25" s="11" t="inlineStr"/>
      <c r="J25" s="11" t="inlineStr"/>
      <c r="K25" s="11" t="inlineStr">
        <is>
          <t>Closed (satisfactory)</t>
        </is>
      </c>
      <c r="L25" s="11" t="inlineStr"/>
    </row>
    <row r="26">
      <c r="A26" s="11" t="inlineStr">
        <is>
          <t>VQ-25</t>
        </is>
      </c>
      <c r="B26" s="11" t="inlineStr">
        <is>
          <t>Data retention</t>
        </is>
      </c>
      <c r="C26" s="11" t="inlineStr">
        <is>
          <t>Defined retention for raw and derived data</t>
        </is>
      </c>
      <c r="D26" s="11" t="inlineStr">
        <is>
          <t>Raw extracts 90 days; derived features and models retained indefinitely</t>
        </is>
      </c>
      <c r="E26" s="11" t="inlineStr">
        <is>
          <t>Retention schedule</t>
        </is>
      </c>
      <c r="F26" s="11" t="inlineStr">
        <is>
          <t>Partially Satisfactory</t>
        </is>
      </c>
      <c r="G26" s="11" t="inlineStr">
        <is>
          <t>Data retention and return/destruction undefined</t>
        </is>
      </c>
      <c r="H26" s="11" t="inlineStr">
        <is>
          <t>Moderate</t>
        </is>
      </c>
      <c r="I26" s="11" t="inlineStr">
        <is>
          <t>Return/destroy within 30 days of termination with certificate; derived features deleted or contractually de-identified; retention schedule appended to MSA</t>
        </is>
      </c>
      <c r="J26" s="11" t="inlineStr">
        <is>
          <t>Theo Anand (General Counsel)</t>
        </is>
      </c>
      <c r="K26" s="11" t="inlineStr">
        <is>
          <t>In negotiation</t>
        </is>
      </c>
      <c r="L26" s="11" t="inlineStr">
        <is>
          <t>VR-005</t>
        </is>
      </c>
    </row>
    <row r="27">
      <c r="A27" s="11" t="inlineStr">
        <is>
          <t>VQ-26</t>
        </is>
      </c>
      <c r="B27" s="11" t="inlineStr">
        <is>
          <t>Termination and data return</t>
        </is>
      </c>
      <c r="C27" s="11" t="inlineStr">
        <is>
          <t>Return and destroy data within 30 days of termination with certificate</t>
        </is>
      </c>
      <c r="D27" s="11" t="inlineStr">
        <is>
          <t>'Upon request'; no timeframe or certificate</t>
        </is>
      </c>
      <c r="E27" s="11" t="inlineStr">
        <is>
          <t>MSA §15</t>
        </is>
      </c>
      <c r="F27" s="11" t="inlineStr">
        <is>
          <t>Unsatisfactory</t>
        </is>
      </c>
      <c r="G27" s="11" t="inlineStr">
        <is>
          <t>Data retention and return/destruction undefined</t>
        </is>
      </c>
      <c r="H27" s="11" t="inlineStr">
        <is>
          <t>Moderate</t>
        </is>
      </c>
      <c r="I27" s="11" t="inlineStr">
        <is>
          <t>Return/destroy within 30 days of termination with certificate; derived features deleted or contractually de-identified; retention schedule appended to MSA</t>
        </is>
      </c>
      <c r="J27" s="11" t="inlineStr">
        <is>
          <t>Theo Anand (General Counsel)</t>
        </is>
      </c>
      <c r="K27" s="11" t="inlineStr">
        <is>
          <t>In negotiation</t>
        </is>
      </c>
      <c r="L27" s="11" t="inlineStr">
        <is>
          <t>VR-005</t>
        </is>
      </c>
    </row>
    <row r="28">
      <c r="A28" s="11" t="inlineStr">
        <is>
          <t>VQ-27</t>
        </is>
      </c>
      <c r="B28" s="11" t="inlineStr">
        <is>
          <t>Subcontractors</t>
        </is>
      </c>
      <c r="C28" s="11" t="inlineStr">
        <is>
          <t>Complete list of subcontractors with access to Wrenfield data</t>
        </is>
      </c>
      <c r="D28" s="11" t="inlineStr">
        <is>
          <t>Initially listed 2 (cloud warehouse, cloud host); 4 identified after SOC 2 review and interview</t>
        </is>
      </c>
      <c r="E28" s="11" t="inlineStr">
        <is>
          <t>Questionnaire v1 vs interview notes</t>
        </is>
      </c>
      <c r="F28" s="11" t="inlineStr">
        <is>
          <t>Unsatisfactory</t>
        </is>
      </c>
      <c r="G28" s="11" t="inlineStr">
        <is>
          <t>Incomplete subcontractor disclosure; no notice of new subcontractors</t>
        </is>
      </c>
      <c r="H28" s="11" t="inlineStr">
        <is>
          <t>Moderate</t>
        </is>
      </c>
      <c r="I28" s="11" t="inlineStr">
        <is>
          <t>Complete subcontractor schedule in amendment; 30-day advance notice and right to object; SHCA approval workflow</t>
        </is>
      </c>
      <c r="J28" s="11" t="inlineStr">
        <is>
          <t>Theo Anand (General Counsel)</t>
        </is>
      </c>
      <c r="K28" s="11" t="inlineStr">
        <is>
          <t>In negotiation</t>
        </is>
      </c>
      <c r="L28" s="11" t="inlineStr">
        <is>
          <t>VR-008</t>
        </is>
      </c>
    </row>
    <row r="29">
      <c r="A29" s="11" t="inlineStr">
        <is>
          <t>VQ-28</t>
        </is>
      </c>
      <c r="B29" s="11" t="inlineStr">
        <is>
          <t>Subcontractors</t>
        </is>
      </c>
      <c r="C29" s="11" t="inlineStr">
        <is>
          <t>BAA and security flow-down to every subcontractor</t>
        </is>
      </c>
      <c r="D29" s="11" t="inlineStr">
        <is>
          <t>BAAs with warehouse and offshore firm; offshore agreement lacks data-location restriction</t>
        </is>
      </c>
      <c r="E29" s="11" t="inlineStr">
        <is>
          <t>Subcontractor agreement excerpts</t>
        </is>
      </c>
      <c r="F29" s="11" t="inlineStr">
        <is>
          <t>Partially Satisfactory</t>
        </is>
      </c>
      <c r="G29" s="11" t="inlineStr">
        <is>
          <t>Undisclosed offshore subcontractor with production access to Wrenfield PHI</t>
        </is>
      </c>
      <c r="H29" s="11" t="inlineStr">
        <is>
          <t>Critical</t>
        </is>
      </c>
      <c r="I29" s="11" t="inlineStr">
        <is>
          <t>Immediate suspension of offshore access to Wrenfield data; contract amendment requiring US-only access with technical enforcement (geo-restricted IdP policy, US-only support roster) and access-log attestation quarterly</t>
        </is>
      </c>
      <c r="J29" s="11" t="inlineStr">
        <is>
          <t>Quarrystone CISO / Miriam Castell</t>
        </is>
      </c>
      <c r="K29" s="11" t="inlineStr">
        <is>
          <t>Interim contained (offshore access suspended 2026-07-24); contractual fix open</t>
        </is>
      </c>
      <c r="L29" s="11" t="inlineStr">
        <is>
          <t>VR-001</t>
        </is>
      </c>
    </row>
    <row r="30">
      <c r="A30" s="11" t="inlineStr">
        <is>
          <t>VQ-29</t>
        </is>
      </c>
      <c r="B30" s="11" t="inlineStr">
        <is>
          <t>Subcontractors</t>
        </is>
      </c>
      <c r="C30" s="11" t="inlineStr">
        <is>
          <t>Advance notice and right to object to new subcontractors</t>
        </is>
      </c>
      <c r="D30" s="11" t="inlineStr">
        <is>
          <t>No notice provision</t>
        </is>
      </c>
      <c r="E30" s="11" t="inlineStr">
        <is>
          <t>MSA</t>
        </is>
      </c>
      <c r="F30" s="11" t="inlineStr">
        <is>
          <t>Unsatisfactory</t>
        </is>
      </c>
      <c r="G30" s="11" t="inlineStr">
        <is>
          <t>Incomplete subcontractor disclosure; no notice of new subcontractors</t>
        </is>
      </c>
      <c r="H30" s="11" t="inlineStr">
        <is>
          <t>Moderate</t>
        </is>
      </c>
      <c r="I30" s="11" t="inlineStr">
        <is>
          <t>Complete subcontractor schedule in amendment; 30-day advance notice and right to object; SHCA approval workflow</t>
        </is>
      </c>
      <c r="J30" s="11" t="inlineStr">
        <is>
          <t>Theo Anand (General Counsel)</t>
        </is>
      </c>
      <c r="K30" s="11" t="inlineStr">
        <is>
          <t>In negotiation</t>
        </is>
      </c>
      <c r="L30" s="11" t="inlineStr">
        <is>
          <t>VR-008</t>
        </is>
      </c>
    </row>
    <row r="31">
      <c r="A31" s="11" t="inlineStr">
        <is>
          <t>VQ-30</t>
        </is>
      </c>
      <c r="B31" s="11" t="inlineStr">
        <is>
          <t>Personnel security</t>
        </is>
      </c>
      <c r="C31" s="11" t="inlineStr">
        <is>
          <t>Background checks for staff with data access</t>
        </is>
      </c>
      <c r="D31" s="11" t="inlineStr">
        <is>
          <t>US staff screened; subcontractor staff screened by subcontractor under local law</t>
        </is>
      </c>
      <c r="E31" s="11" t="inlineStr">
        <is>
          <t>HR policy; subcontractor attestation</t>
        </is>
      </c>
      <c r="F31" s="11" t="inlineStr">
        <is>
          <t>Partially Satisfactory</t>
        </is>
      </c>
      <c r="G31" s="11" t="inlineStr">
        <is>
          <t>Undisclosed offshore subcontractor with production access to Wrenfield PHI</t>
        </is>
      </c>
      <c r="H31" s="11" t="inlineStr">
        <is>
          <t>Critical</t>
        </is>
      </c>
      <c r="I31" s="11" t="inlineStr">
        <is>
          <t>Immediate suspension of offshore access to Wrenfield data; contract amendment requiring US-only access with technical enforcement (geo-restricted IdP policy, US-only support roster) and access-log attestation quarterly</t>
        </is>
      </c>
      <c r="J31" s="11" t="inlineStr">
        <is>
          <t>Quarrystone CISO / Miriam Castell</t>
        </is>
      </c>
      <c r="K31" s="11" t="inlineStr">
        <is>
          <t>Interim contained (offshore access suspended 2026-07-24); contractual fix open</t>
        </is>
      </c>
      <c r="L31" s="11" t="inlineStr">
        <is>
          <t>VR-001</t>
        </is>
      </c>
    </row>
    <row r="32">
      <c r="A32" s="11" t="inlineStr">
        <is>
          <t>VQ-31</t>
        </is>
      </c>
      <c r="B32" s="11" t="inlineStr">
        <is>
          <t>Personnel security</t>
        </is>
      </c>
      <c r="C32" s="11" t="inlineStr">
        <is>
          <t>Annual security and HIPAA training</t>
        </is>
      </c>
      <c r="D32" s="11" t="inlineStr">
        <is>
          <t>Annual training; 98% completion</t>
        </is>
      </c>
      <c r="E32" s="11" t="inlineStr">
        <is>
          <t>LMS summary</t>
        </is>
      </c>
      <c r="F32" s="11" t="inlineStr">
        <is>
          <t>Satisfactory</t>
        </is>
      </c>
      <c r="G32" s="11" t="inlineStr">
        <is>
          <t>None</t>
        </is>
      </c>
      <c r="H32" s="11" t="inlineStr"/>
      <c r="I32" s="11" t="inlineStr"/>
      <c r="J32" s="11" t="inlineStr"/>
      <c r="K32" s="11" t="inlineStr">
        <is>
          <t>Closed (satisfactory)</t>
        </is>
      </c>
      <c r="L32" s="11" t="inlineStr"/>
    </row>
    <row r="33">
      <c r="A33" s="11" t="inlineStr">
        <is>
          <t>VQ-32</t>
        </is>
      </c>
      <c r="B33" s="11" t="inlineStr">
        <is>
          <t>Risk transfer</t>
        </is>
      </c>
      <c r="C33" s="11" t="inlineStr">
        <is>
          <t>Cyber liability insurance adequate to data volume</t>
        </is>
      </c>
      <c r="D33" s="11" t="inlineStr">
        <is>
          <t>$5M cyber policy</t>
        </is>
      </c>
      <c r="E33" s="11" t="inlineStr">
        <is>
          <t>Certificate of insurance</t>
        </is>
      </c>
      <c r="F33" s="11" t="inlineStr">
        <is>
          <t>Satisfactory</t>
        </is>
      </c>
      <c r="G33" s="11" t="inlineStr">
        <is>
          <t>None ($5M may be light for about 410k records; considered in the Transfer decision)</t>
        </is>
      </c>
      <c r="H33" s="11" t="inlineStr"/>
      <c r="I33" s="11" t="inlineStr"/>
      <c r="J33" s="11" t="inlineStr"/>
      <c r="K33" s="11" t="inlineStr">
        <is>
          <t>Closed (satisfactory)</t>
        </is>
      </c>
      <c r="L33" s="11" t="inlineStr"/>
    </row>
    <row r="34">
      <c r="A34" s="11" t="inlineStr">
        <is>
          <t>VQ-33</t>
        </is>
      </c>
      <c r="B34" s="11" t="inlineStr">
        <is>
          <t>Change management</t>
        </is>
      </c>
      <c r="C34" s="11" t="inlineStr">
        <is>
          <t>Changes approved and tested before production</t>
        </is>
      </c>
      <c r="D34" s="11" t="inlineStr">
        <is>
          <t>SOC 2 notes 2 of 40 changes lacked approval (remediated)</t>
        </is>
      </c>
      <c r="E34" s="11" t="inlineStr">
        <is>
          <t>SOC 2 CC8.1 exception</t>
        </is>
      </c>
      <c r="F34" s="11" t="inlineStr">
        <is>
          <t>Partially Satisfactory</t>
        </is>
      </c>
      <c r="G34" s="11" t="inlineStr">
        <is>
          <t>SOC 2 exceptions (access reviews, change approvals)</t>
        </is>
      </c>
      <c r="H34" s="11" t="inlineStr">
        <is>
          <t>Low</t>
        </is>
      </c>
      <c r="I34" s="11" t="inlineStr">
        <is>
          <t>Monitor: obtain next SOC 2 (expected 2026-12) and confirm exceptions resolved</t>
        </is>
      </c>
      <c r="J34" s="11" t="inlineStr">
        <is>
          <t>Beth Kowalski</t>
        </is>
      </c>
      <c r="K34" s="11" t="inlineStr">
        <is>
          <t>Monitor</t>
        </is>
      </c>
      <c r="L34" s="11" t="inlineStr">
        <is>
          <t>VR-006</t>
        </is>
      </c>
    </row>
    <row r="35">
      <c r="A35" s="11" t="inlineStr">
        <is>
          <t>VQ-34</t>
        </is>
      </c>
      <c r="B35" s="11" t="inlineStr">
        <is>
          <t>Physical security</t>
        </is>
      </c>
      <c r="C35" s="11" t="inlineStr">
        <is>
          <t>Physical security of facilities hosting data</t>
        </is>
      </c>
      <c r="D35" s="11" t="inlineStr">
        <is>
          <t>Inherited from cloud providers (SOC 2 carve-out)</t>
        </is>
      </c>
      <c r="E35" s="11" t="inlineStr">
        <is>
          <t>SOC 2 subservice section</t>
        </is>
      </c>
      <c r="F35" s="11" t="inlineStr">
        <is>
          <t>Satisfactory</t>
        </is>
      </c>
      <c r="G35" s="11" t="inlineStr">
        <is>
          <t>None (Reliance on subservice organizations noted)</t>
        </is>
      </c>
      <c r="H35" s="11" t="inlineStr"/>
      <c r="I35" s="11" t="inlineStr"/>
      <c r="J35" s="11" t="inlineStr"/>
      <c r="K35" s="11" t="inlineStr">
        <is>
          <t>Closed (satisfactory)</t>
        </is>
      </c>
      <c r="L35" s="11" t="inlineStr"/>
    </row>
    <row r="36">
      <c r="A36" s="11" t="inlineStr">
        <is>
          <t>VQ-35</t>
        </is>
      </c>
      <c r="B36" s="11" t="inlineStr">
        <is>
          <t>Data transfer</t>
        </is>
      </c>
      <c r="C36" s="11" t="inlineStr">
        <is>
          <t>Secure, supported transfer mechanism from Wrenfield</t>
        </is>
      </c>
      <c r="D36" s="11" t="inlineStr">
        <is>
          <t>Vendor receives via SFTP from Wrenfield's wf-sftp-01 (Wrenfield-side, unsupported OS)</t>
        </is>
      </c>
      <c r="E36" s="11" t="inlineStr">
        <is>
          <t>Data Sharing Spec v2</t>
        </is>
      </c>
      <c r="F36" s="11" t="inlineStr">
        <is>
          <t>Unsatisfactory</t>
        </is>
      </c>
      <c r="G36" s="11" t="inlineStr">
        <is>
          <t>Extract transferred from an unsupported Wrenfield host</t>
        </is>
      </c>
      <c r="H36" s="11" t="inlineStr">
        <is>
          <t>Moderate</t>
        </is>
      </c>
      <c r="I36" s="11" t="inlineStr">
        <is>
          <t>Managed transfer service (POAM-011) with PGP-encrypted files</t>
        </is>
      </c>
      <c r="J36" s="11" t="inlineStr">
        <is>
          <t>Tomasz Wierzbicki</t>
        </is>
      </c>
      <c r="K36" s="11" t="inlineStr">
        <is>
          <t>In progress (delayed; POAM-011)</t>
        </is>
      </c>
      <c r="L36" s="11" t="inlineStr">
        <is>
          <t>VR-012</t>
        </is>
      </c>
    </row>
    <row r="37">
      <c r="A37" s="11" t="inlineStr">
        <is>
          <t>VQ-36</t>
        </is>
      </c>
      <c r="B37" s="11" t="inlineStr">
        <is>
          <t>Assurance cooperation</t>
        </is>
      </c>
      <c r="C37" s="11" t="inlineStr">
        <is>
          <t>Right to assess; annual questionnaire; evidence on request</t>
        </is>
      </c>
      <c r="D37" s="11" t="inlineStr">
        <is>
          <t>Annual questionnaire; on-site with 30 days notice</t>
        </is>
      </c>
      <c r="E37" s="11" t="inlineStr">
        <is>
          <t>MSA §10</t>
        </is>
      </c>
      <c r="F37" s="11" t="inlineStr">
        <is>
          <t>Satisfactory</t>
        </is>
      </c>
      <c r="G37" s="11" t="inlineStr">
        <is>
          <t>None</t>
        </is>
      </c>
      <c r="H37" s="11" t="inlineStr"/>
      <c r="I37" s="11" t="inlineStr"/>
      <c r="J37" s="11" t="inlineStr"/>
      <c r="K37" s="11" t="inlineStr">
        <is>
          <t>Closed (satisfactory)</t>
        </is>
      </c>
      <c r="L37" s="11" t="inlineStr"/>
    </row>
  </sheetData>
  <autoFilter ref="A1:L3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9"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2" customHeight="1">
      <c r="A1" s="10" t="inlineStr">
        <is>
          <t>VR ID</t>
        </is>
      </c>
      <c r="B1" s="10" t="inlineStr">
        <is>
          <t>Title</t>
        </is>
      </c>
      <c r="C1" s="10" t="inlineStr">
        <is>
          <t>Severity</t>
        </is>
      </c>
      <c r="D1" s="10" t="inlineStr">
        <is>
          <t>Party Responsible</t>
        </is>
      </c>
      <c r="E1" s="10" t="inlineStr">
        <is>
          <t>Questions</t>
        </is>
      </c>
      <c r="F1" s="10" t="inlineStr">
        <is>
          <t>Description</t>
        </is>
      </c>
      <c r="G1" s="10" t="inlineStr">
        <is>
          <t>Recommendation</t>
        </is>
      </c>
      <c r="H1" s="10" t="inlineStr">
        <is>
          <t>Owner</t>
        </is>
      </c>
      <c r="I1" s="10" t="inlineStr">
        <is>
          <t>Status</t>
        </is>
      </c>
      <c r="J1" s="10" t="inlineStr">
        <is>
          <t>Related Finding</t>
        </is>
      </c>
      <c r="K1" s="10" t="inlineStr">
        <is>
          <t>Escalation</t>
        </is>
      </c>
    </row>
    <row r="2">
      <c r="A2" s="11" t="inlineStr">
        <is>
          <t>VR-001</t>
        </is>
      </c>
      <c r="B2" s="11" t="inlineStr">
        <is>
          <t>Undisclosed offshore subcontractor with production access to Wrenfield PHI</t>
        </is>
      </c>
      <c r="C2" s="11" t="inlineStr">
        <is>
          <t>Critical</t>
        </is>
      </c>
      <c r="D2" s="11" t="inlineStr">
        <is>
          <t>Vendor</t>
        </is>
      </c>
      <c r="E2" s="11" t="inlineStr">
        <is>
          <t>VQ-05, VQ-23, VQ-28, VQ-30</t>
        </is>
      </c>
      <c r="F2" s="11" t="inlineStr">
        <is>
          <t>Meridian Offshore Data Services (Pune) performs pipeline troubleshooting with production read access to Wrenfield's full PHI dataset. Conflicts with SHCA CSA §6.1 (for SHCA data) and 2 current customer BAAs (incl. Lakemont) that prohibit offshore access.</t>
        </is>
      </c>
      <c r="G2" s="11" t="inlineStr">
        <is>
          <t>Immediate suspension of offshore access to Wrenfield data; contract amendment requiring US-only access with technical enforcement (geo-restricted IdP policy, US-only support roster) and access-log attestation quarterly</t>
        </is>
      </c>
      <c r="H2" s="11" t="inlineStr">
        <is>
          <t>Quarrystone CISO / Miriam Castell</t>
        </is>
      </c>
      <c r="I2" s="11" t="inlineStr">
        <is>
          <t>Interim contained (offshore access suspended 2026-07-24); contractual fix open</t>
        </is>
      </c>
      <c r="J2" s="11" t="inlineStr">
        <is>
          <t>FIND-016</t>
        </is>
      </c>
      <c r="K2" s="11" t="inlineStr">
        <is>
          <t>CEO notified 2026-07-17 (Critical = outside appetite; 5-business-day rule met)</t>
        </is>
      </c>
    </row>
    <row r="3">
      <c r="A3" s="11" t="inlineStr">
        <is>
          <t>VR-002</t>
        </is>
      </c>
      <c r="B3" s="11" t="inlineStr">
        <is>
          <t>Breach notification term of 30 days</t>
        </is>
      </c>
      <c r="C3" s="11" t="inlineStr">
        <is>
          <t>High</t>
        </is>
      </c>
      <c r="D3" s="11" t="inlineStr">
        <is>
          <t>Vendor</t>
        </is>
      </c>
      <c r="E3" s="11" t="inlineStr">
        <is>
          <t>VQ-16</t>
        </is>
      </c>
      <c r="F3" s="11" t="inlineStr">
        <is>
          <t>BAA allows up to 30 days. Wrenfield must notify SHCA within 24h and customers within 5 business days, so a 30-day upstream delay makes compliance impossible.</t>
        </is>
      </c>
      <c r="G3" s="11" t="inlineStr">
        <is>
          <t>Amend BAA to 24h notice of suspected or confirmed incidents affecting Wrenfield data, with defined content and updates</t>
        </is>
      </c>
      <c r="H3" s="11" t="inlineStr">
        <is>
          <t>Theo Anand (General Counsel)</t>
        </is>
      </c>
      <c r="I3" s="11" t="inlineStr">
        <is>
          <t>In negotiation (redline v3)</t>
        </is>
      </c>
      <c r="J3" s="11" t="inlineStr">
        <is>
          <t>FIND-016</t>
        </is>
      </c>
      <c r="K3" s="11" t="inlineStr"/>
    </row>
    <row r="4">
      <c r="A4" s="11" t="inlineStr">
        <is>
          <t>VR-003</t>
        </is>
      </c>
      <c r="B4" s="11" t="inlineStr">
        <is>
          <t>Extract exceeds minimum necessary (27 of 58 fields unused)</t>
        </is>
      </c>
      <c r="C4" s="11" t="inlineStr">
        <is>
          <t>High</t>
        </is>
      </c>
      <c r="D4" s="11" t="inlineStr">
        <is>
          <t>Wrenfield</t>
        </is>
      </c>
      <c r="E4" s="11" t="inlineStr">
        <is>
          <t>VQ-21</t>
        </is>
      </c>
      <c r="F4" s="11" t="inlineStr">
        <is>
          <t>Wrenfield sends address, phone, email, and free-text notes that the model does not use. Increases breach impact and conflicts with HIPAA minimum necessary (164.502(b)).</t>
        </is>
      </c>
      <c r="G4" s="11" t="inlineStr">
        <is>
          <t>Redesign extract to 31 required fields; replace direct identifiers with tokenized IDs; re-validate model on minimized data</t>
        </is>
      </c>
      <c r="H4" s="11" t="inlineStr">
        <is>
          <t>Liam Porter (Data Engineering)</t>
        </is>
      </c>
      <c r="I4" s="11" t="inlineStr">
        <is>
          <t>In progress (target 2026-10-16)</t>
        </is>
      </c>
      <c r="J4" s="11" t="inlineStr">
        <is>
          <t>FIND-016</t>
        </is>
      </c>
      <c r="K4" s="11" t="inlineStr"/>
    </row>
    <row r="5">
      <c r="A5" s="11" t="inlineStr">
        <is>
          <t>VR-004</t>
        </is>
      </c>
      <c r="B5" s="11" t="inlineStr">
        <is>
          <t>Penetration test evidence stale and incomplete</t>
        </is>
      </c>
      <c r="C5" s="11" t="inlineStr">
        <is>
          <t>Moderate</t>
        </is>
      </c>
      <c r="D5" s="11" t="inlineStr">
        <is>
          <t>Vendor</t>
        </is>
      </c>
      <c r="E5" s="11" t="inlineStr">
        <is>
          <t>VQ-12</t>
        </is>
      </c>
      <c r="F5" s="11" t="inlineStr">
        <is>
          <t>Last external test 2025-03 (18 months). Summary letter only. Retest of the High finding not evidenced.</t>
        </is>
      </c>
      <c r="G5" s="11" t="inlineStr">
        <is>
          <t>Provide full report (under NDA) or detailed executive summary with finding list and retest letter; annual testing clause in amendment</t>
        </is>
      </c>
      <c r="H5" s="11" t="inlineStr">
        <is>
          <t>Quarrystone CISO</t>
        </is>
      </c>
      <c r="I5" s="11" t="inlineStr">
        <is>
          <t>Evidence requested (EVID-051, overdue)</t>
        </is>
      </c>
      <c r="J5" s="11" t="inlineStr">
        <is>
          <t>FIND-016</t>
        </is>
      </c>
      <c r="K5" s="11" t="inlineStr"/>
    </row>
    <row r="6">
      <c r="A6" s="11" t="inlineStr">
        <is>
          <t>VR-005</t>
        </is>
      </c>
      <c r="B6" s="11" t="inlineStr">
        <is>
          <t>Data retention and return/destruction undefined</t>
        </is>
      </c>
      <c r="C6" s="11" t="inlineStr">
        <is>
          <t>Moderate</t>
        </is>
      </c>
      <c r="D6" s="11" t="inlineStr">
        <is>
          <t>Vendor</t>
        </is>
      </c>
      <c r="E6" s="11" t="inlineStr">
        <is>
          <t>VQ-25, VQ-26</t>
        </is>
      </c>
      <c r="F6" s="11" t="inlineStr">
        <is>
          <t>Return 'upon request' with no timeframe or certificate. Derived data kept indefinitely.</t>
        </is>
      </c>
      <c r="G6" s="11" t="inlineStr">
        <is>
          <t>Return/destroy within 30 days of termination with certificate; derived features deleted or contractually de-identified; retention schedule appended to MSA</t>
        </is>
      </c>
      <c r="H6" s="11" t="inlineStr">
        <is>
          <t>Theo Anand (General Counsel)</t>
        </is>
      </c>
      <c r="I6" s="11" t="inlineStr">
        <is>
          <t>In negotiation</t>
        </is>
      </c>
      <c r="J6" s="11" t="inlineStr">
        <is>
          <t>FIND-016</t>
        </is>
      </c>
      <c r="K6" s="11" t="inlineStr"/>
    </row>
    <row r="7">
      <c r="A7" s="11" t="inlineStr">
        <is>
          <t>VR-006</t>
        </is>
      </c>
      <c r="B7" s="11" t="inlineStr">
        <is>
          <t>SOC 2 exceptions (access reviews, change approvals)</t>
        </is>
      </c>
      <c r="C7" s="11" t="inlineStr">
        <is>
          <t>Low</t>
        </is>
      </c>
      <c r="D7" s="11" t="inlineStr">
        <is>
          <t>Vendor</t>
        </is>
      </c>
      <c r="E7" s="11" t="inlineStr">
        <is>
          <t>VQ-03, VQ-04, VQ-33</t>
        </is>
      </c>
      <c r="F7" s="11" t="inlineStr">
        <is>
          <t>2 exceptions with adequate management responses. Report period ended 2025-09-30. Bridge letter covers to 2026-03-31.</t>
        </is>
      </c>
      <c r="G7" s="11" t="inlineStr">
        <is>
          <t>Monitor: obtain next SOC 2 (expected 2026-12) and confirm exceptions resolved</t>
        </is>
      </c>
      <c r="H7" s="11" t="inlineStr">
        <is>
          <t>Beth Kowalski</t>
        </is>
      </c>
      <c r="I7" s="11" t="inlineStr">
        <is>
          <t>Monitor</t>
        </is>
      </c>
      <c r="J7" s="11" t="inlineStr"/>
      <c r="K7" s="11" t="inlineStr"/>
    </row>
    <row r="8">
      <c r="A8" s="11" t="inlineStr">
        <is>
          <t>VR-007</t>
        </is>
      </c>
      <c r="B8" s="11" t="inlineStr">
        <is>
          <t>Wrenfield not performing SOC 2 CUEC for portal user management; no SSO</t>
        </is>
      </c>
      <c r="C8" s="11" t="inlineStr">
        <is>
          <t>Moderate</t>
        </is>
      </c>
      <c r="D8" s="11" t="inlineStr">
        <is>
          <t>Wrenfield</t>
        </is>
      </c>
      <c r="E8" s="11" t="inlineStr">
        <is>
          <t>VQ-07</t>
        </is>
      </c>
      <c r="F8" s="11" t="inlineStr">
        <is>
          <t>The SOC 2 lists 'user entities are responsible for managing and reviewing their users' portal access' as a complementary user-entity control. Wrenfield had never reviewed its 6 portal user accounts; 1 former employee was active (AR-EX-04).</t>
        </is>
      </c>
      <c r="G8" s="11" t="inlineStr">
        <is>
          <t>Add portal to quarterly certification and JML checklist (done); budget SAML SSO at renewal</t>
        </is>
      </c>
      <c r="H8" s="11" t="inlineStr">
        <is>
          <t>Liam Porter</t>
        </is>
      </c>
      <c r="I8" s="11" t="inlineStr">
        <is>
          <t>Partially remediated (review + JML done; SSO at 2027 renewal)</t>
        </is>
      </c>
      <c r="J8" s="11" t="inlineStr">
        <is>
          <t>FIND-001</t>
        </is>
      </c>
      <c r="K8" s="11" t="inlineStr"/>
    </row>
    <row r="9">
      <c r="A9" s="11" t="inlineStr">
        <is>
          <t>VR-008</t>
        </is>
      </c>
      <c r="B9" s="11" t="inlineStr">
        <is>
          <t>Incomplete subcontractor disclosure; no notice of new subcontractors</t>
        </is>
      </c>
      <c r="C9" s="11" t="inlineStr">
        <is>
          <t>Moderate</t>
        </is>
      </c>
      <c r="D9" s="11" t="inlineStr">
        <is>
          <t>Vendor</t>
        </is>
      </c>
      <c r="E9" s="11" t="inlineStr">
        <is>
          <t>VQ-27, VQ-29</t>
        </is>
      </c>
      <c r="F9" s="11" t="inlineStr">
        <is>
          <t>Questionnaire listed 2 subcontractors; 4 exist. No contractual notice or approval for new subcontractors. SHCA CSA §6.3 requires approval before a subcontractor accesses agency data.</t>
        </is>
      </c>
      <c r="G9" s="11" t="inlineStr">
        <is>
          <t>Complete subcontractor schedule in amendment; 30-day advance notice and right to object; SHCA approval workflow</t>
        </is>
      </c>
      <c r="H9" s="11" t="inlineStr">
        <is>
          <t>Theo Anand (General Counsel)</t>
        </is>
      </c>
      <c r="I9" s="11" t="inlineStr">
        <is>
          <t>In negotiation</t>
        </is>
      </c>
      <c r="J9" s="11" t="inlineStr">
        <is>
          <t>FIND-016</t>
        </is>
      </c>
      <c r="K9" s="11" t="inlineStr"/>
    </row>
    <row r="10">
      <c r="A10" s="11" t="inlineStr">
        <is>
          <t>VR-009</t>
        </is>
      </c>
      <c r="B10" s="11" t="inlineStr">
        <is>
          <t>Access logs kept 90 days; no commitment to support investigations</t>
        </is>
      </c>
      <c r="C10" s="11" t="inlineStr">
        <is>
          <t>Moderate</t>
        </is>
      </c>
      <c r="D10" s="11" t="inlineStr">
        <is>
          <t>Vendor</t>
        </is>
      </c>
      <c r="E10" s="11" t="inlineStr">
        <is>
          <t>VQ-17, VQ-20</t>
        </is>
      </c>
      <c r="F10" s="11" t="inlineStr">
        <is>
          <t>Wrenfield could not scope a breach at the vendor older than 90 days.</t>
        </is>
      </c>
      <c r="G10" s="11" t="inlineStr">
        <is>
          <t>12-month log retention for access to Wrenfield data; contractual log provision within 5 business days of request</t>
        </is>
      </c>
      <c r="H10" s="11" t="inlineStr">
        <is>
          <t>Theo Anand (General Counsel)</t>
        </is>
      </c>
      <c r="I10" s="11" t="inlineStr">
        <is>
          <t>In negotiation</t>
        </is>
      </c>
      <c r="J10" s="11" t="inlineStr">
        <is>
          <t>FIND-016</t>
        </is>
      </c>
      <c r="K10" s="11" t="inlineStr"/>
    </row>
    <row r="11">
      <c r="A11" s="11" t="inlineStr">
        <is>
          <t>VR-010</t>
        </is>
      </c>
      <c r="B11" s="11" t="inlineStr">
        <is>
          <t>Secondary use of pooled de-identified data</t>
        </is>
      </c>
      <c r="C11" s="11" t="inlineStr">
        <is>
          <t>Moderate</t>
        </is>
      </c>
      <c r="D11" s="11" t="inlineStr">
        <is>
          <t>Both (legal review)</t>
        </is>
      </c>
      <c r="E11" s="11" t="inlineStr">
        <is>
          <t>VQ-22</t>
        </is>
      </c>
      <c r="F11" s="11" t="inlineStr">
        <is>
          <t>Vendor de-identifies Wrenfield-supplied PHI and pools it for cross-client model training. Whether Wrenfield's customer BAAs permit its subcontractor to de-identify for this purpose is unresolved. Safe Harbor output is not PHI, but the act of de-identifying is a use of PHI that must be permitted.</t>
        </is>
      </c>
      <c r="G11" s="11" t="inlineStr">
        <is>
          <t>General Counsel opinion; either opt Wrenfield data out of pooling or confirm customer BAAs permit it and disclose</t>
        </is>
      </c>
      <c r="H11" s="11" t="inlineStr">
        <is>
          <t>Theo Anand (General Counsel)</t>
        </is>
      </c>
      <c r="I11" s="11" t="inlineStr">
        <is>
          <t>Legal review in progress</t>
        </is>
      </c>
      <c r="J11" s="11" t="inlineStr">
        <is>
          <t>FIND-016</t>
        </is>
      </c>
      <c r="K11" s="11" t="inlineStr"/>
    </row>
    <row r="12">
      <c r="A12" s="11" t="inlineStr">
        <is>
          <t>VR-011</t>
        </is>
      </c>
      <c r="B12" s="11" t="inlineStr">
        <is>
          <t>No SBOM for vendor software</t>
        </is>
      </c>
      <c r="C12" s="11" t="inlineStr">
        <is>
          <t>Low</t>
        </is>
      </c>
      <c r="D12" s="11" t="inlineStr">
        <is>
          <t>Vendor</t>
        </is>
      </c>
      <c r="E12" s="11" t="inlineStr">
        <is>
          <t>VQ-14</t>
        </is>
      </c>
      <c r="F12" s="11" t="inlineStr">
        <is>
          <t>Limits Wrenfield's ability to assess exposure to newly disclosed component vulnerabilities.</t>
        </is>
      </c>
      <c r="G12" s="11" t="inlineStr">
        <is>
          <t>Request SBOM availability on the roadmap; revisit at 2027 renewal</t>
        </is>
      </c>
      <c r="H12" s="11" t="inlineStr">
        <is>
          <t>Beth Kowalski</t>
        </is>
      </c>
      <c r="I12" s="11" t="inlineStr">
        <is>
          <t>Monitor</t>
        </is>
      </c>
      <c r="J12" s="11" t="inlineStr"/>
      <c r="K12" s="11" t="inlineStr"/>
    </row>
    <row r="13">
      <c r="A13" s="11" t="inlineStr">
        <is>
          <t>VR-012</t>
        </is>
      </c>
      <c r="B13" s="11" t="inlineStr">
        <is>
          <t>Extract transferred from an unsupported Wrenfield host</t>
        </is>
      </c>
      <c r="C13" s="11" t="inlineStr">
        <is>
          <t>Moderate</t>
        </is>
      </c>
      <c r="D13" s="11" t="inlineStr">
        <is>
          <t>Wrenfield</t>
        </is>
      </c>
      <c r="E13" s="11" t="inlineStr">
        <is>
          <t>VQ-35</t>
        </is>
      </c>
      <c r="F13" s="11" t="inlineStr">
        <is>
          <t>The full-PHI extract leaves via wf-sftp-01 (Windows Server 2012 R2).</t>
        </is>
      </c>
      <c r="G13" s="11" t="inlineStr">
        <is>
          <t>Managed transfer service (POAM-011) with PGP-encrypted files</t>
        </is>
      </c>
      <c r="H13" s="11" t="inlineStr">
        <is>
          <t>Tomasz Wierzbicki</t>
        </is>
      </c>
      <c r="I13" s="11" t="inlineStr">
        <is>
          <t>In progress (delayed; POAM-011)</t>
        </is>
      </c>
      <c r="J13" s="11" t="inlineStr">
        <is>
          <t>FIND-011</t>
        </is>
      </c>
      <c r="K13" s="11" t="inlineStr"/>
    </row>
  </sheetData>
  <autoFilter ref="A1:K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impl</t>
        </is>
      </c>
      <c r="B1" t="inlineStr">
        <is>
          <t>result</t>
        </is>
      </c>
      <c r="C1" t="inlineStr">
        <is>
          <t>level</t>
        </is>
      </c>
      <c r="D1" t="inlineStr">
        <is>
          <t>evidence_status</t>
        </is>
      </c>
      <c r="E1" t="inlineStr">
        <is>
          <t>poam_status</t>
        </is>
      </c>
      <c r="F1" t="inlineStr">
        <is>
          <t>severity</t>
        </is>
      </c>
      <c r="G1" t="inlineStr">
        <is>
          <t>treatment</t>
        </is>
      </c>
      <c r="H1" t="inlineStr">
        <is>
          <t>decision</t>
        </is>
      </c>
      <c r="I1" t="inlineStr">
        <is>
          <t>vq_eval</t>
        </is>
      </c>
    </row>
    <row r="2">
      <c r="A2" t="inlineStr">
        <is>
          <t>Implemented</t>
        </is>
      </c>
      <c r="B2" t="inlineStr">
        <is>
          <t>Satisfied</t>
        </is>
      </c>
      <c r="C2" t="inlineStr">
        <is>
          <t>Design</t>
        </is>
      </c>
      <c r="D2" t="inlineStr">
        <is>
          <t>Not Requested</t>
        </is>
      </c>
      <c r="E2" t="inlineStr">
        <is>
          <t>Open</t>
        </is>
      </c>
      <c r="F2" t="inlineStr">
        <is>
          <t>Critical</t>
        </is>
      </c>
      <c r="G2" t="inlineStr">
        <is>
          <t>Mitigate</t>
        </is>
      </c>
      <c r="H2" t="inlineStr">
        <is>
          <t>Retain</t>
        </is>
      </c>
      <c r="I2" t="inlineStr">
        <is>
          <t>Satisfactory</t>
        </is>
      </c>
    </row>
    <row r="3">
      <c r="A3" t="inlineStr">
        <is>
          <t>Partially Implemented</t>
        </is>
      </c>
      <c r="B3" t="inlineStr">
        <is>
          <t>Other Than Satisfied</t>
        </is>
      </c>
      <c r="C3" t="inlineStr">
        <is>
          <t>Implementation</t>
        </is>
      </c>
      <c r="D3" t="inlineStr">
        <is>
          <t>Requested</t>
        </is>
      </c>
      <c r="E3" t="inlineStr">
        <is>
          <t>In Progress</t>
        </is>
      </c>
      <c r="F3" t="inlineStr">
        <is>
          <t>High</t>
        </is>
      </c>
      <c r="G3" t="inlineStr">
        <is>
          <t>Accept</t>
        </is>
      </c>
      <c r="H3" t="inlineStr">
        <is>
          <t>Retain (time-bound)</t>
        </is>
      </c>
      <c r="I3" t="inlineStr">
        <is>
          <t>Partially Satisfactory</t>
        </is>
      </c>
    </row>
    <row r="4">
      <c r="A4" t="inlineStr">
        <is>
          <t>Planned</t>
        </is>
      </c>
      <c r="B4" t="inlineStr">
        <is>
          <t>Not Assessed</t>
        </is>
      </c>
      <c r="C4" t="inlineStr">
        <is>
          <t>Operating Effectiveness</t>
        </is>
      </c>
      <c r="D4" t="inlineStr">
        <is>
          <t>Received</t>
        </is>
      </c>
      <c r="E4" t="inlineStr">
        <is>
          <t>Delayed</t>
        </is>
      </c>
      <c r="F4" t="inlineStr">
        <is>
          <t>Moderate</t>
        </is>
      </c>
      <c r="G4" t="inlineStr">
        <is>
          <t>Transfer</t>
        </is>
      </c>
      <c r="H4" t="inlineStr">
        <is>
          <t>Retain with exception</t>
        </is>
      </c>
      <c r="I4" t="inlineStr">
        <is>
          <t>Unsatisfactory</t>
        </is>
      </c>
    </row>
    <row r="5">
      <c r="A5" t="inlineStr">
        <is>
          <t>Not Implemented</t>
        </is>
      </c>
      <c r="D5" t="inlineStr">
        <is>
          <t>Under Review</t>
        </is>
      </c>
      <c r="E5" t="inlineStr">
        <is>
          <t>Completed – Pending Validation</t>
        </is>
      </c>
      <c r="F5" t="inlineStr">
        <is>
          <t>Low</t>
        </is>
      </c>
      <c r="G5" t="inlineStr">
        <is>
          <t>Avoid</t>
        </is>
      </c>
      <c r="H5" t="inlineStr">
        <is>
          <t>Modify</t>
        </is>
      </c>
      <c r="I5" t="inlineStr">
        <is>
          <t>Not Applicable</t>
        </is>
      </c>
    </row>
    <row r="6">
      <c r="A6" t="inlineStr">
        <is>
          <t>Not Applicable</t>
        </is>
      </c>
      <c r="D6" t="inlineStr">
        <is>
          <t>Accepted</t>
        </is>
      </c>
      <c r="E6" t="inlineStr">
        <is>
          <t>Closed</t>
        </is>
      </c>
      <c r="H6" t="inlineStr">
        <is>
          <t>Revoke</t>
        </is>
      </c>
    </row>
    <row r="7">
      <c r="D7" t="inlineStr">
        <is>
          <t>Insufficient</t>
        </is>
      </c>
      <c r="E7" t="inlineStr">
        <is>
          <t>Risk Accepted</t>
        </is>
      </c>
    </row>
    <row r="8">
      <c r="D8" t="inlineStr">
        <is>
          <t>Rework Required</t>
        </is>
      </c>
    </row>
    <row r="9">
      <c r="D9"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2026-09-23T05:36:29Z</dcterms:created>
  <dcterms:modified xsi:type="dcterms:W3CDTF">2026-09-23T05:36:31Z</dcterms:modified>
</cp:coreProperties>
</file>