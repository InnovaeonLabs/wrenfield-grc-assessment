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idence" sheetId="2" state="visible" r:id="rId2"/>
  </sheets>
  <definedNames>
    <definedName name="_xlnm._FilterDatabase" localSheetId="1" hidden="1">'Evidence'!$A$1:$T$79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D9EFD8"/>
        </patternFill>
      </fill>
    </dxf>
    <dxf>
      <fill>
        <patternFill patternType="solid">
          <fgColor rgb="00F9D6CF"/>
        </patternFill>
      </fill>
    </dxf>
    <dxf>
      <fill>
        <patternFill patternType="solid">
          <fgColor rgb="00E6E0F3"/>
        </patternFill>
      </fill>
    </dxf>
    <dxf>
      <fill>
        <patternFill patternType="solid">
          <fgColor rgb="00FBE3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Audit-Evidence Tracker (PBC)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Statuses</t>
        </is>
      </c>
      <c r="B6" s="6" t="inlineStr">
        <is>
          <t>Not Requested, Requested, Received, Under Review, Accepted, Insufficient, Rework Required, Closed</t>
        </is>
      </c>
    </row>
    <row r="7">
      <c r="A7" s="3" t="inlineStr">
        <is>
          <t>Evidence level</t>
        </is>
      </c>
      <c r="B7" s="6" t="inlineStr">
        <is>
          <t>Design = documentation exists; Implementation = configured/deployed; Operating Effectiveness = worked over the period. See audit/evidence-quality-guide.md</t>
        </is>
      </c>
    </row>
    <row r="8">
      <c r="A8" s="3" t="inlineStr">
        <is>
          <t>Sufficiency</t>
        </is>
      </c>
      <c r="B8" s="6" t="inlineStr">
        <is>
          <t>Derived: Accepted/Closed = Sufficient; Insufficient/Rework = Insufficient; others Pending</t>
        </is>
      </c>
    </row>
    <row r="9">
      <c r="A9" s="3" t="inlineStr">
        <is>
          <t>Days Late</t>
        </is>
      </c>
      <c r="B9" s="6" t="inlineStr">
        <is>
          <t>Live formula: received after due, or still outstanding past due as of the README date</t>
        </is>
      </c>
    </row>
    <row r="10">
      <c r="A10" s="3" t="inlineStr">
        <is>
          <t>Completion %</t>
        </is>
      </c>
      <c r="B10" s="6" t="inlineStr">
        <is>
          <t>(Accepted + Closed) / all requested items. 'Insufficient' is NOT complete: it becomes a finding</t>
        </is>
      </c>
    </row>
    <row r="11">
      <c r="A11" s="3" t="inlineStr">
        <is>
          <t>Locations</t>
        </is>
      </c>
      <c r="B11" s="6" t="inlineStr">
        <is>
          <t>Paths starting with evidence/ or access-review/ are synthetic samples committed in this repo; 'GRC-Vault:/' paths are the fictional evidence vault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  <col width="16" customWidth="1" min="12" max="12"/>
    <col width="16" customWidth="1" min="13" max="13"/>
    <col width="44" customWidth="1" min="14" max="14"/>
    <col width="16" customWidth="1" min="15" max="15"/>
    <col width="16" customWidth="1" min="16" max="16"/>
    <col width="28" customWidth="1" min="17" max="17"/>
    <col width="28" customWidth="1" min="18" max="18"/>
    <col width="16" customWidth="1" min="19" max="19"/>
    <col width="36" customWidth="1" min="20" max="20"/>
  </cols>
  <sheetData>
    <row r="1" ht="32" customHeight="1">
      <c r="A1" s="7" t="inlineStr">
        <is>
          <t>Evidence ID</t>
        </is>
      </c>
      <c r="B1" s="7" t="inlineStr">
        <is>
          <t>Control ID</t>
        </is>
      </c>
      <c r="C1" s="7" t="inlineStr">
        <is>
          <t>Evidence Request</t>
        </is>
      </c>
      <c r="D1" s="7" t="inlineStr">
        <is>
          <t>Artifact Description</t>
        </is>
      </c>
      <c r="E1" s="7" t="inlineStr">
        <is>
          <t>Evidence Owner</t>
        </is>
      </c>
      <c r="F1" s="7" t="inlineStr">
        <is>
          <t>Request Date</t>
        </is>
      </c>
      <c r="G1" s="7" t="inlineStr">
        <is>
          <t>Due Date</t>
        </is>
      </c>
      <c r="H1" s="7" t="inlineStr">
        <is>
          <t>Received Date</t>
        </is>
      </c>
      <c r="I1" s="7" t="inlineStr">
        <is>
          <t>Status</t>
        </is>
      </c>
      <c r="J1" s="7" t="inlineStr">
        <is>
          <t>Evidence Period</t>
        </is>
      </c>
      <c r="K1" s="7" t="inlineStr">
        <is>
          <t>File / Repository Location</t>
        </is>
      </c>
      <c r="L1" s="7" t="inlineStr">
        <is>
          <t>In Repo?</t>
        </is>
      </c>
      <c r="M1" s="7" t="inlineStr">
        <is>
          <t>Reviewer</t>
        </is>
      </c>
      <c r="N1" s="7" t="inlineStr">
        <is>
          <t>Review Result</t>
        </is>
      </c>
      <c r="O1" s="7" t="inlineStr">
        <is>
          <t>Evidence Level</t>
        </is>
      </c>
      <c r="P1" s="7" t="inlineStr">
        <is>
          <t>Sufficiency</t>
        </is>
      </c>
      <c r="Q1" s="7" t="inlineStr">
        <is>
          <t>Exception</t>
        </is>
      </c>
      <c r="R1" s="7" t="inlineStr">
        <is>
          <t>Follow-Up Required</t>
        </is>
      </c>
      <c r="S1" s="7" t="inlineStr">
        <is>
          <t>Days Late</t>
        </is>
      </c>
      <c r="T1" s="7" t="inlineStr">
        <is>
          <t>Notes</t>
        </is>
      </c>
    </row>
    <row r="2">
      <c r="A2" s="8" t="inlineStr">
        <is>
          <t>EVID-001</t>
        </is>
      </c>
      <c r="B2" s="8" t="inlineStr">
        <is>
          <t>AC-1</t>
        </is>
      </c>
      <c r="C2" s="9" t="inlineStr">
        <is>
          <t>Current Access Control Policy with approval record and review history</t>
        </is>
      </c>
      <c r="D2" s="9" t="inlineStr">
        <is>
          <t>ACP-002 Access Control Policy v3.1 (PDF) + approval minutes 2025-01-15</t>
        </is>
      </c>
      <c r="E2" s="8" t="inlineStr">
        <is>
          <t>Alicia Moreno</t>
        </is>
      </c>
      <c r="F2" s="10" t="n">
        <v>46183</v>
      </c>
      <c r="G2" s="10" t="n">
        <v>46192</v>
      </c>
      <c r="H2" s="10" t="n">
        <v>46185</v>
      </c>
      <c r="I2" s="8" t="inlineStr">
        <is>
          <t>Accepted</t>
        </is>
      </c>
      <c r="J2" s="8" t="inlineStr">
        <is>
          <t>Current version</t>
        </is>
      </c>
      <c r="K2" s="9" t="inlineStr">
        <is>
          <t>GRC-Vault:/WCP-2026/AC/EVID-001_ACP-002_v3.1.pdf</t>
        </is>
      </c>
      <c r="L2" s="8" t="inlineStr">
        <is>
          <t>No</t>
        </is>
      </c>
      <c r="M2" s="8" t="inlineStr">
        <is>
          <t>Lead assessor</t>
        </is>
      </c>
      <c r="N2" s="9" t="inlineStr">
        <is>
          <t>Content adequate; last approval 2025-01-15 exceeds the annual review cycle</t>
        </is>
      </c>
      <c r="O2" s="8" t="inlineStr">
        <is>
          <t>Design</t>
        </is>
      </c>
      <c r="P2" s="8" t="inlineStr">
        <is>
          <t>Sufficient</t>
        </is>
      </c>
      <c r="Q2" s="9" t="inlineStr"/>
      <c r="R2" s="9" t="inlineStr">
        <is>
          <t>No</t>
        </is>
      </c>
      <c r="S2" s="8">
        <f>IF(H2="",MAX(0,README!$B$4-G2),MAX(0,H2-G2))</f>
        <v/>
      </c>
      <c r="T2" s="9" t="inlineStr">
        <is>
          <t>Drives OBS-01. Policy existence alone did not satisfy AC-2 or AC-6</t>
        </is>
      </c>
    </row>
    <row r="3">
      <c r="A3" s="8" t="inlineStr">
        <is>
          <t>EVID-002</t>
        </is>
      </c>
      <c r="B3" s="8" t="inlineStr">
        <is>
          <t>AC-2; AC-2(3); PS-4; PS-5</t>
        </is>
      </c>
      <c r="C3" s="9" t="inlineStr">
        <is>
          <t>Joiner/mover/leaver procedure</t>
        </is>
      </c>
      <c r="D3" s="9" t="inlineStr">
        <is>
          <t>SOP-IAM-02 Account Lifecycle v2.0</t>
        </is>
      </c>
      <c r="E3" s="8" t="inlineStr">
        <is>
          <t>Nadia Rahman</t>
        </is>
      </c>
      <c r="F3" s="10" t="n">
        <v>46183</v>
      </c>
      <c r="G3" s="10" t="n">
        <v>46192</v>
      </c>
      <c r="H3" s="10" t="n">
        <v>46185</v>
      </c>
      <c r="I3" s="8" t="inlineStr">
        <is>
          <t>Accepted</t>
        </is>
      </c>
      <c r="J3" s="8" t="inlineStr">
        <is>
          <t>Current version</t>
        </is>
      </c>
      <c r="K3" s="9" t="inlineStr">
        <is>
          <t>GRC-Vault:/WCP-2026/AC/EVID-002_SOP-IAM-02_v2.0.pdf</t>
        </is>
      </c>
      <c r="L3" s="8" t="inlineStr">
        <is>
          <t>No</t>
        </is>
      </c>
      <c r="M3" s="8" t="inlineStr">
        <is>
          <t>Lead assessor</t>
        </is>
      </c>
      <c r="N3" s="9" t="inlineStr">
        <is>
          <t>Describes a manual HR-email to IT-ticket flow; no step for local accounts or transfers</t>
        </is>
      </c>
      <c r="O3" s="8" t="inlineStr">
        <is>
          <t>Design</t>
        </is>
      </c>
      <c r="P3" s="8" t="inlineStr">
        <is>
          <t>Sufficient</t>
        </is>
      </c>
      <c r="Q3" s="9" t="inlineStr"/>
      <c r="R3" s="9" t="inlineStr">
        <is>
          <t>No</t>
        </is>
      </c>
      <c r="S3" s="8">
        <f>IF(H3="",MAX(0,README!$B$4-G3),MAX(0,H3-G3))</f>
        <v/>
      </c>
      <c r="T3" s="9" t="inlineStr">
        <is>
          <t>Design gap is visible in the procedure itself</t>
        </is>
      </c>
    </row>
    <row r="4">
      <c r="A4" s="8" t="inlineStr">
        <is>
          <t>EVID-003</t>
        </is>
      </c>
      <c r="B4" s="8" t="inlineStr">
        <is>
          <t>AC-2(3); PS-4</t>
        </is>
      </c>
      <c r="C4" s="9" t="inlineStr">
        <is>
          <t>System-generated list of ALL terminations 2026-01-01 to 2026-06-30 (worker ID, type, date, effective time)</t>
        </is>
      </c>
      <c r="D4" s="9" t="inlineStr">
        <is>
          <t>PeopleHub report 'Terminations by Effective Date' + final-pay reconciliation</t>
        </is>
      </c>
      <c r="E4" s="8" t="inlineStr">
        <is>
          <t>Denise Yamamoto</t>
        </is>
      </c>
      <c r="F4" s="10" t="n">
        <v>46183</v>
      </c>
      <c r="G4" s="10" t="n">
        <v>46192</v>
      </c>
      <c r="H4" s="10" t="n">
        <v>46190</v>
      </c>
      <c r="I4" s="8" t="inlineStr">
        <is>
          <t>Accepted</t>
        </is>
      </c>
      <c r="J4" s="8" t="inlineStr">
        <is>
          <t>2026-01-01 to 2026-06-30</t>
        </is>
      </c>
      <c r="K4" s="9" t="inlineStr">
        <is>
          <t>evidence/AC/EVID-003_peoplehub-terminations-2026H1.csv</t>
        </is>
      </c>
      <c r="L4" s="8" t="inlineStr">
        <is>
          <t>Yes</t>
        </is>
      </c>
      <c r="M4" s="8" t="inlineStr">
        <is>
          <t>Lead assessor</t>
        </is>
      </c>
      <c r="N4" s="9" t="inlineStr">
        <is>
          <t>IPE validated: 19 of 19 reconciled to final pay/invoice</t>
        </is>
      </c>
      <c r="O4" s="8" t="inlineStr">
        <is>
          <t>Operating Effectiveness</t>
        </is>
      </c>
      <c r="P4" s="8" t="inlineStr">
        <is>
          <t>Sufficient</t>
        </is>
      </c>
      <c r="Q4" s="9" t="inlineStr"/>
      <c r="R4" s="9" t="inlineStr">
        <is>
          <t>No</t>
        </is>
      </c>
      <c r="S4" s="8">
        <f>IF(H4="",MAX(0,README!$B$4-G4),MAX(0,H4-G4))</f>
        <v/>
      </c>
      <c r="T4" s="9" t="inlineStr">
        <is>
          <t>Assessor observed report generation over screen share</t>
        </is>
      </c>
    </row>
    <row r="5">
      <c r="A5" s="8" t="inlineStr">
        <is>
          <t>EVID-004</t>
        </is>
      </c>
      <c r="B5" s="8" t="inlineStr">
        <is>
          <t>AC-2(3)</t>
        </is>
      </c>
      <c r="C5" s="9" t="inlineStr">
        <is>
          <t>Okta System Log export of user.lifecycle.deactivate events for the period</t>
        </is>
      </c>
      <c r="D5" s="9" t="inlineStr">
        <is>
          <t>Okta System Log API export</t>
        </is>
      </c>
      <c r="E5" s="8" t="inlineStr">
        <is>
          <t>Nadia Rahman</t>
        </is>
      </c>
      <c r="F5" s="10" t="n">
        <v>46183</v>
      </c>
      <c r="G5" s="10" t="n">
        <v>46192</v>
      </c>
      <c r="H5" s="10" t="n">
        <v>46190</v>
      </c>
      <c r="I5" s="8" t="inlineStr">
        <is>
          <t>Accepted</t>
        </is>
      </c>
      <c r="J5" s="8" t="inlineStr">
        <is>
          <t>2026-01-01 to 2026-06-30</t>
        </is>
      </c>
      <c r="K5" s="9" t="inlineStr">
        <is>
          <t>evidence/AC/EVID-004_okta-deactivation-events-2026H1.csv</t>
        </is>
      </c>
      <c r="L5" s="8" t="inlineStr">
        <is>
          <t>Yes</t>
        </is>
      </c>
      <c r="M5" s="8" t="inlineStr">
        <is>
          <t>Lead assessor</t>
        </is>
      </c>
      <c r="N5" s="9" t="inlineStr">
        <is>
          <t>17 events; matched to EVID-003</t>
        </is>
      </c>
      <c r="O5" s="8" t="inlineStr">
        <is>
          <t>Operating Effectiveness</t>
        </is>
      </c>
      <c r="P5" s="8" t="inlineStr">
        <is>
          <t>Sufficient</t>
        </is>
      </c>
      <c r="Q5" s="9" t="inlineStr"/>
      <c r="R5" s="9" t="inlineStr">
        <is>
          <t>No</t>
        </is>
      </c>
      <c r="S5" s="8">
        <f>IF(H5="",MAX(0,README!$B$4-G5),MAX(0,H5-G5))</f>
        <v/>
      </c>
      <c r="T5" s="9" t="inlineStr"/>
    </row>
    <row r="6">
      <c r="A6" s="8" t="inlineStr">
        <is>
          <t>EVID-005</t>
        </is>
      </c>
      <c r="B6" s="8" t="inlineStr">
        <is>
          <t>AC-2; AC-2(1); IA-2; AC-6(2)</t>
        </is>
      </c>
      <c r="C6" s="9" t="inlineStr">
        <is>
          <t>Okta user export (all statuses) with MFA enrollment and group membership as of 2026-06-30</t>
        </is>
      </c>
      <c r="D6" s="9" t="inlineStr">
        <is>
          <t>Okta Users API export</t>
        </is>
      </c>
      <c r="E6" s="8" t="inlineStr">
        <is>
          <t>Nadia Rahman</t>
        </is>
      </c>
      <c r="F6" s="10" t="n">
        <v>46183</v>
      </c>
      <c r="G6" s="10" t="n">
        <v>46192</v>
      </c>
      <c r="H6" s="10" t="n">
        <v>46204</v>
      </c>
      <c r="I6" s="8" t="inlineStr">
        <is>
          <t>Accepted</t>
        </is>
      </c>
      <c r="J6" s="8" t="inlineStr">
        <is>
          <t>As of 2026-06-30</t>
        </is>
      </c>
      <c r="K6" s="9" t="inlineStr">
        <is>
          <t>access-review/source-exports/okta_users.csv</t>
        </is>
      </c>
      <c r="L6" s="8" t="inlineStr">
        <is>
          <t>Yes</t>
        </is>
      </c>
      <c r="M6" s="8" t="inlineStr">
        <is>
          <t>Lead assessor</t>
        </is>
      </c>
      <c r="N6" s="9" t="inlineStr">
        <is>
          <t>Complete for in-scope population; account types verified</t>
        </is>
      </c>
      <c r="O6" s="8" t="inlineStr">
        <is>
          <t>Implementation</t>
        </is>
      </c>
      <c r="P6" s="8" t="inlineStr">
        <is>
          <t>Sufficient</t>
        </is>
      </c>
      <c r="Q6" s="9" t="inlineStr"/>
      <c r="R6" s="9" t="inlineStr">
        <is>
          <t>No</t>
        </is>
      </c>
      <c r="S6" s="8">
        <f>IF(H6="",MAX(0,README!$B$4-G6),MAX(0,H6-G6))</f>
        <v/>
      </c>
      <c r="T6" s="9" t="inlineStr"/>
    </row>
    <row r="7">
      <c r="A7" s="8" t="inlineStr">
        <is>
          <t>EVID-006</t>
        </is>
      </c>
      <c r="B7" s="8" t="inlineStr">
        <is>
          <t>AC-2; AC-6; AC-6(5)</t>
        </is>
      </c>
      <c r="C7" s="9" t="inlineStr">
        <is>
          <t>Entitlement exports from each in-scope system as of 2026-06-30</t>
        </is>
      </c>
      <c r="D7" s="9" t="inlineStr">
        <is>
          <t>Exports from AWS IAM Identity Center/IAM, GitHub, Aurora roles, wf-sftp-01, PeopleHub, Ledgerline, SIEM, EDR, Quarrystone portal</t>
        </is>
      </c>
      <c r="E7" s="8" t="inlineStr">
        <is>
          <t>System owners (9 systems)</t>
        </is>
      </c>
      <c r="F7" s="10" t="n">
        <v>46183</v>
      </c>
      <c r="G7" s="10" t="n">
        <v>46204</v>
      </c>
      <c r="H7" s="10" t="n">
        <v>46206</v>
      </c>
      <c r="I7" s="8" t="inlineStr">
        <is>
          <t>Accepted</t>
        </is>
      </c>
      <c r="J7" s="8" t="inlineStr">
        <is>
          <t>As of 2026-06-30</t>
        </is>
      </c>
      <c r="K7" s="9" t="inlineStr">
        <is>
          <t>access-review/source-exports/entitlements.csv</t>
        </is>
      </c>
      <c r="L7" s="8" t="inlineStr">
        <is>
          <t>Yes</t>
        </is>
      </c>
      <c r="M7" s="8" t="inlineStr">
        <is>
          <t>Lead assessor</t>
        </is>
      </c>
      <c r="N7" s="9" t="inlineStr">
        <is>
          <t>106 entitlements; 2 exports re-pulled after column omissions (Ledgerline, portal)</t>
        </is>
      </c>
      <c r="O7" s="8" t="inlineStr">
        <is>
          <t>Implementation</t>
        </is>
      </c>
      <c r="P7" s="8" t="inlineStr">
        <is>
          <t>Sufficient</t>
        </is>
      </c>
      <c r="Q7" s="9" t="inlineStr"/>
      <c r="R7" s="9" t="inlineStr">
        <is>
          <t>No</t>
        </is>
      </c>
      <c r="S7" s="8">
        <f>IF(H7="",MAX(0,README!$B$4-G7),MAX(0,H7-G7))</f>
        <v/>
      </c>
      <c r="T7" s="9" t="inlineStr">
        <is>
          <t>Ledgerline export first omitted role assignment dates; returned 2026-07-03</t>
        </is>
      </c>
    </row>
    <row r="8">
      <c r="A8" s="8" t="inlineStr">
        <is>
          <t>EVID-007</t>
        </is>
      </c>
      <c r="B8" s="8" t="inlineStr">
        <is>
          <t>AC-2; IA-2(1); IA-5</t>
        </is>
      </c>
      <c r="C8" s="9" t="inlineStr">
        <is>
          <t>AWS IAM credential report for wcp-prod</t>
        </is>
      </c>
      <c r="D8" s="9" t="inlineStr">
        <is>
          <t>IAM credential report (CSV)</t>
        </is>
      </c>
      <c r="E8" s="8" t="inlineStr">
        <is>
          <t>Tomasz Wierzbicki</t>
        </is>
      </c>
      <c r="F8" s="10" t="n">
        <v>46183</v>
      </c>
      <c r="G8" s="10" t="n">
        <v>46192</v>
      </c>
      <c r="H8" s="10" t="n">
        <v>46204</v>
      </c>
      <c r="I8" s="8" t="inlineStr">
        <is>
          <t>Accepted</t>
        </is>
      </c>
      <c r="J8" s="8" t="inlineStr">
        <is>
          <t>As of 2026-06-30</t>
        </is>
      </c>
      <c r="K8" s="9" t="inlineStr">
        <is>
          <t>evidence/IA/EVID-007_aws-iam-credential-report_2026-06-30.csv</t>
        </is>
      </c>
      <c r="L8" s="8" t="inlineStr">
        <is>
          <t>Yes</t>
        </is>
      </c>
      <c r="M8" s="8" t="inlineStr">
        <is>
          <t>Lead assessor</t>
        </is>
      </c>
      <c r="N8" s="9" t="inlineStr">
        <is>
          <t>Revealed mfeld-admin (no MFA) and svc-reporting-etl static key</t>
        </is>
      </c>
      <c r="O8" s="8" t="inlineStr">
        <is>
          <t>Implementation</t>
        </is>
      </c>
      <c r="P8" s="8" t="inlineStr">
        <is>
          <t>Sufficient</t>
        </is>
      </c>
      <c r="Q8" s="9" t="inlineStr"/>
      <c r="R8" s="9" t="inlineStr">
        <is>
          <t>No</t>
        </is>
      </c>
      <c r="S8" s="8">
        <f>IF(H8="",MAX(0,README!$B$4-G8),MAX(0,H8-G8))</f>
        <v/>
      </c>
      <c r="T8" s="9" t="inlineStr"/>
    </row>
    <row r="9">
      <c r="A9" s="8" t="inlineStr">
        <is>
          <t>EVID-008</t>
        </is>
      </c>
      <c r="B9" s="8" t="inlineStr">
        <is>
          <t>AC-6(7)</t>
        </is>
      </c>
      <c r="C9" s="9" t="inlineStr">
        <is>
          <t>Q1 2026 access certification campaign export (reviewer, item, decision, timestamp)</t>
        </is>
      </c>
      <c r="D9" s="9" t="inlineStr">
        <is>
          <t>Okta Access Certification campaign export Q1-2026 (412 decisions)</t>
        </is>
      </c>
      <c r="E9" s="8" t="inlineStr">
        <is>
          <t>Alicia Moreno</t>
        </is>
      </c>
      <c r="F9" s="10" t="n">
        <v>46183</v>
      </c>
      <c r="G9" s="10" t="n">
        <v>46192</v>
      </c>
      <c r="H9" s="10" t="n">
        <v>46197</v>
      </c>
      <c r="I9" s="8" t="inlineStr">
        <is>
          <t>Accepted</t>
        </is>
      </c>
      <c r="J9" s="8" t="inlineStr">
        <is>
          <t>2026-03-02 to 2026-03-20</t>
        </is>
      </c>
      <c r="K9" s="9" t="inlineStr">
        <is>
          <t>evidence/AC/EVID-008_q1-certification-summary.md</t>
        </is>
      </c>
      <c r="L9" s="8" t="inlineStr">
        <is>
          <t>Yes</t>
        </is>
      </c>
      <c r="M9" s="8" t="inlineStr">
        <is>
          <t>Lead assessor</t>
        </is>
      </c>
      <c r="N9" s="9" t="inlineStr">
        <is>
          <t>100% approved; 17 of 23 reviewers finished in under 5 minutes; approved 2 items later found invalid</t>
        </is>
      </c>
      <c r="O9" s="8" t="inlineStr">
        <is>
          <t>Operating Effectiveness</t>
        </is>
      </c>
      <c r="P9" s="8" t="inlineStr">
        <is>
          <t>Sufficient</t>
        </is>
      </c>
      <c r="Q9" s="9" t="inlineStr"/>
      <c r="R9" s="9" t="inlineStr">
        <is>
          <t>No</t>
        </is>
      </c>
      <c r="S9" s="8">
        <f>IF(H9="",MAX(0,README!$B$4-G9),MAX(0,H9-G9))</f>
        <v/>
      </c>
      <c r="T9" s="9" t="inlineStr"/>
    </row>
    <row r="10">
      <c r="A10" s="8" t="inlineStr">
        <is>
          <t>EVID-009</t>
        </is>
      </c>
      <c r="B10" s="8" t="inlineStr">
        <is>
          <t>AC-6(7)</t>
        </is>
      </c>
      <c r="C10" s="9" t="inlineStr">
        <is>
          <t>Evidence that quarterly access reviews are performed</t>
        </is>
      </c>
      <c r="D10" s="9" t="inlineStr">
        <is>
          <t>Screenshot: 'Q1 Access Review, 100% complete' dashboard tile</t>
        </is>
      </c>
      <c r="E10" s="8" t="inlineStr">
        <is>
          <t>Alicia Moreno</t>
        </is>
      </c>
      <c r="F10" s="10" t="n">
        <v>46183</v>
      </c>
      <c r="G10" s="10" t="n">
        <v>46192</v>
      </c>
      <c r="H10" s="10" t="n">
        <v>46188</v>
      </c>
      <c r="I10" s="8" t="inlineStr">
        <is>
          <t>Insufficient</t>
        </is>
      </c>
      <c r="J10" s="8" t="inlineStr">
        <is>
          <t>Undated</t>
        </is>
      </c>
      <c r="K10" s="9" t="inlineStr">
        <is>
          <t>evidence/AC/EVID-009_insufficient-screenshot-example.md</t>
        </is>
      </c>
      <c r="L10" s="8" t="inlineStr">
        <is>
          <t>Yes</t>
        </is>
      </c>
      <c r="M10" s="8" t="inlineStr">
        <is>
          <t>Lead assessor</t>
        </is>
      </c>
      <c r="N10" s="9" t="inlineStr">
        <is>
          <t>No population, reviewers, decisions, or date; cannot show review quality</t>
        </is>
      </c>
      <c r="O10" s="8" t="inlineStr">
        <is>
          <t>Design</t>
        </is>
      </c>
      <c r="P10" s="8" t="inlineStr">
        <is>
          <t>Insufficient</t>
        </is>
      </c>
      <c r="Q10" s="9" t="inlineStr">
        <is>
          <t>Screenshot shows completion status only</t>
        </is>
      </c>
      <c r="R10" s="9" t="inlineStr">
        <is>
          <t>Yes: replaced by EVID-008</t>
        </is>
      </c>
      <c r="S10" s="8">
        <f>IF(H10="",MAX(0,README!$B$4-G10),MAX(0,H10-G10))</f>
        <v/>
      </c>
      <c r="T10" s="9" t="inlineStr">
        <is>
          <t>Teaching example: completion does not prove effectiveness</t>
        </is>
      </c>
    </row>
    <row r="11">
      <c r="A11" s="8" t="inlineStr">
        <is>
          <t>EVID-010</t>
        </is>
      </c>
      <c r="B11" s="8" t="inlineStr">
        <is>
          <t>IA-2(1); IA-2(2); IA-2(8)</t>
        </is>
      </c>
      <c r="C11" s="9" t="inlineStr">
        <is>
          <t>Okta authentication and global session policy export</t>
        </is>
      </c>
      <c r="D11" s="9" t="inlineStr">
        <is>
          <t>Okta Policies API export</t>
        </is>
      </c>
      <c r="E11" s="8" t="inlineStr">
        <is>
          <t>Nadia Rahman</t>
        </is>
      </c>
      <c r="F11" s="10" t="n">
        <v>46183</v>
      </c>
      <c r="G11" s="10" t="n">
        <v>46192</v>
      </c>
      <c r="H11" s="10" t="n">
        <v>46203</v>
      </c>
      <c r="I11" s="8" t="inlineStr">
        <is>
          <t>Accepted</t>
        </is>
      </c>
      <c r="J11" s="8" t="inlineStr">
        <is>
          <t>As of 2026-06-30</t>
        </is>
      </c>
      <c r="K11" s="9" t="inlineStr">
        <is>
          <t>evidence/IA/EVID-010_okta-authentication-policies_2026-06-30.json</t>
        </is>
      </c>
      <c r="L11" s="8" t="inlineStr">
        <is>
          <t>Yes</t>
        </is>
      </c>
      <c r="M11" s="8" t="inlineStr">
        <is>
          <t>Lead assessor</t>
        </is>
      </c>
      <c r="N11" s="9" t="inlineStr">
        <is>
          <t>Global policy excludes MFA-Exempt-Legacy group; admin apps accept non-phishing-resistant factors</t>
        </is>
      </c>
      <c r="O11" s="8" t="inlineStr">
        <is>
          <t>Implementation</t>
        </is>
      </c>
      <c r="P11" s="8" t="inlineStr">
        <is>
          <t>Sufficient</t>
        </is>
      </c>
      <c r="Q11" s="9" t="inlineStr"/>
      <c r="R11" s="9" t="inlineStr">
        <is>
          <t>No</t>
        </is>
      </c>
      <c r="S11" s="8">
        <f>IF(H11="",MAX(0,README!$B$4-G11),MAX(0,H11-G11))</f>
        <v/>
      </c>
      <c r="T11" s="9" t="inlineStr"/>
    </row>
    <row r="12">
      <c r="A12" s="8" t="inlineStr">
        <is>
          <t>EVID-011</t>
        </is>
      </c>
      <c r="B12" s="8" t="inlineStr">
        <is>
          <t>IA-2(1); IA-2(2)</t>
        </is>
      </c>
      <c r="C12" s="9" t="inlineStr">
        <is>
          <t>Membership of all MFA exemption groups with reason and approval</t>
        </is>
      </c>
      <c r="D12" s="9" t="inlineStr">
        <is>
          <t>Okta group membership export MFA-Exempt-Legacy</t>
        </is>
      </c>
      <c r="E12" s="8" t="inlineStr">
        <is>
          <t>Nadia Rahman</t>
        </is>
      </c>
      <c r="F12" s="10" t="n">
        <v>46183</v>
      </c>
      <c r="G12" s="10" t="n">
        <v>46192</v>
      </c>
      <c r="H12" s="10" t="n">
        <v>46203</v>
      </c>
      <c r="I12" s="8" t="inlineStr">
        <is>
          <t>Accepted</t>
        </is>
      </c>
      <c r="J12" s="8" t="inlineStr">
        <is>
          <t>As of 2026-06-30</t>
        </is>
      </c>
      <c r="K12" s="9" t="inlineStr">
        <is>
          <t>evidence/IA/EVID-011_okta-mfa-exempt-group_2026-06-30.csv</t>
        </is>
      </c>
      <c r="L12" s="8" t="inlineStr">
        <is>
          <t>Yes</t>
        </is>
      </c>
      <c r="M12" s="8" t="inlineStr">
        <is>
          <t>Lead assessor</t>
        </is>
      </c>
      <c r="N12" s="9" t="inlineStr">
        <is>
          <t>11 members (9 human, 2 service); 0 approvals or expiry dates</t>
        </is>
      </c>
      <c r="O12" s="8" t="inlineStr">
        <is>
          <t>Implementation</t>
        </is>
      </c>
      <c r="P12" s="8" t="inlineStr">
        <is>
          <t>Sufficient</t>
        </is>
      </c>
      <c r="Q12" s="9" t="inlineStr"/>
      <c r="R12" s="9" t="inlineStr">
        <is>
          <t>No</t>
        </is>
      </c>
      <c r="S12" s="8">
        <f>IF(H12="",MAX(0,README!$B$4-G12),MAX(0,H12-G12))</f>
        <v/>
      </c>
      <c r="T12" s="9" t="inlineStr"/>
    </row>
    <row r="13">
      <c r="A13" s="8" t="inlineStr">
        <is>
          <t>EVID-012</t>
        </is>
      </c>
      <c r="B13" s="8" t="inlineStr">
        <is>
          <t>IA-2(8)</t>
        </is>
      </c>
      <c r="C13" s="9" t="inlineStr">
        <is>
          <t>Enabled authenticator configuration</t>
        </is>
      </c>
      <c r="D13" s="9" t="inlineStr">
        <is>
          <t>Okta authenticator settings export</t>
        </is>
      </c>
      <c r="E13" s="8" t="inlineStr">
        <is>
          <t>Nadia Rahman</t>
        </is>
      </c>
      <c r="F13" s="10" t="n">
        <v>46183</v>
      </c>
      <c r="G13" s="10" t="n">
        <v>46192</v>
      </c>
      <c r="H13" s="10" t="n">
        <v>46203</v>
      </c>
      <c r="I13" s="8" t="inlineStr">
        <is>
          <t>Accepted</t>
        </is>
      </c>
      <c r="J13" s="8" t="inlineStr">
        <is>
          <t>As of 2026-06-30</t>
        </is>
      </c>
      <c r="K13" s="9" t="inlineStr">
        <is>
          <t>GRC-Vault:/WCP-2026/IA/EVID-012_okta-authenticators.json</t>
        </is>
      </c>
      <c r="L13" s="8" t="inlineStr">
        <is>
          <t>No</t>
        </is>
      </c>
      <c r="M13" s="8" t="inlineStr">
        <is>
          <t>Lead assessor</t>
        </is>
      </c>
      <c r="N13" s="9" t="inlineStr">
        <is>
          <t>Only replay-resistant factors enabled; SMS/voice disabled</t>
        </is>
      </c>
      <c r="O13" s="8" t="inlineStr">
        <is>
          <t>Implementation</t>
        </is>
      </c>
      <c r="P13" s="8" t="inlineStr">
        <is>
          <t>Sufficient</t>
        </is>
      </c>
      <c r="Q13" s="9" t="inlineStr"/>
      <c r="R13" s="9" t="inlineStr">
        <is>
          <t>No</t>
        </is>
      </c>
      <c r="S13" s="8">
        <f>IF(H13="",MAX(0,README!$B$4-G13),MAX(0,H13-G13))</f>
        <v/>
      </c>
      <c r="T13" s="9" t="inlineStr"/>
    </row>
    <row r="14">
      <c r="A14" s="8" t="inlineStr">
        <is>
          <t>EVID-013</t>
        </is>
      </c>
      <c r="B14" s="8" t="inlineStr">
        <is>
          <t>AC-2; IA-5</t>
        </is>
      </c>
      <c r="C14" s="9" t="inlineStr">
        <is>
          <t>Service-account register with owner, purpose, credential type, and last rotation</t>
        </is>
      </c>
      <c r="D14" s="9" t="inlineStr">
        <is>
          <t>Service account register v2026-06</t>
        </is>
      </c>
      <c r="E14" s="8" t="inlineStr">
        <is>
          <t>Nadia Rahman</t>
        </is>
      </c>
      <c r="F14" s="10" t="n">
        <v>46183</v>
      </c>
      <c r="G14" s="10" t="n">
        <v>46199</v>
      </c>
      <c r="H14" s="10" t="n">
        <v>46211</v>
      </c>
      <c r="I14" s="8" t="inlineStr">
        <is>
          <t>Accepted</t>
        </is>
      </c>
      <c r="J14" s="8" t="inlineStr">
        <is>
          <t>As of 2026-06-30</t>
        </is>
      </c>
      <c r="K14" s="9" t="inlineStr">
        <is>
          <t>access-review/source-exports/service_accounts.csv</t>
        </is>
      </c>
      <c r="L14" s="8" t="inlineStr">
        <is>
          <t>Yes</t>
        </is>
      </c>
      <c r="M14" s="8" t="inlineStr">
        <is>
          <t>Lead assessor</t>
        </is>
      </c>
      <c r="N14" s="9" t="inlineStr">
        <is>
          <t>Accepted after rework</t>
        </is>
      </c>
      <c r="O14" s="8" t="inlineStr">
        <is>
          <t>Implementation</t>
        </is>
      </c>
      <c r="P14" s="8" t="inlineStr">
        <is>
          <t>Sufficient</t>
        </is>
      </c>
      <c r="Q14" s="9" t="inlineStr"/>
      <c r="R14" s="9" t="inlineStr">
        <is>
          <t>No</t>
        </is>
      </c>
      <c r="S14" s="8">
        <f>IF(H14="",MAX(0,README!$B$4-G14),MAX(0,H14-G14))</f>
        <v/>
      </c>
      <c r="T14" s="9" t="inlineStr">
        <is>
          <t>First submission (2026-06-25) lacked owner and rotation columns; returned as Rework Required; accepted 2026-07-08</t>
        </is>
      </c>
    </row>
    <row r="15">
      <c r="A15" s="8" t="inlineStr">
        <is>
          <t>EVID-014</t>
        </is>
      </c>
      <c r="B15" s="8" t="inlineStr">
        <is>
          <t>AC-5</t>
        </is>
      </c>
      <c r="C15" s="9" t="inlineStr">
        <is>
          <t>Ledgerline role and permission matrix and SoD ruleset</t>
        </is>
      </c>
      <c r="D15" s="9" t="inlineStr">
        <is>
          <t>Ledgerline security role report + SoD matrix</t>
        </is>
      </c>
      <c r="E15" s="8" t="inlineStr">
        <is>
          <t>Laura Brenneman</t>
        </is>
      </c>
      <c r="F15" s="10" t="n">
        <v>46183</v>
      </c>
      <c r="G15" s="10" t="n">
        <v>46192</v>
      </c>
      <c r="H15" s="10" t="n">
        <v>46191</v>
      </c>
      <c r="I15" s="8" t="inlineStr">
        <is>
          <t>Accepted</t>
        </is>
      </c>
      <c r="J15" s="8" t="inlineStr">
        <is>
          <t>Current</t>
        </is>
      </c>
      <c r="K15" s="9" t="inlineStr">
        <is>
          <t>access-review/source-exports/sod_rules.csv</t>
        </is>
      </c>
      <c r="L15" s="8" t="inlineStr">
        <is>
          <t>Yes</t>
        </is>
      </c>
      <c r="M15" s="8" t="inlineStr">
        <is>
          <t>Lead assessor</t>
        </is>
      </c>
      <c r="N15" s="9" t="inlineStr">
        <is>
          <t>Rules adequate; conflict detected in assignments</t>
        </is>
      </c>
      <c r="O15" s="8" t="inlineStr">
        <is>
          <t>Design</t>
        </is>
      </c>
      <c r="P15" s="8" t="inlineStr">
        <is>
          <t>Sufficient</t>
        </is>
      </c>
      <c r="Q15" s="9" t="inlineStr"/>
      <c r="R15" s="9" t="inlineStr">
        <is>
          <t>No</t>
        </is>
      </c>
      <c r="S15" s="8">
        <f>IF(H15="",MAX(0,README!$B$4-G15),MAX(0,H15-G15))</f>
        <v/>
      </c>
      <c r="T15" s="9" t="inlineStr"/>
    </row>
    <row r="16">
      <c r="A16" s="8" t="inlineStr">
        <is>
          <t>EVID-015</t>
        </is>
      </c>
      <c r="B16" s="8" t="inlineStr">
        <is>
          <t>AC-5</t>
        </is>
      </c>
      <c r="C16" s="9" t="inlineStr">
        <is>
          <t>Monthly vendor-master change reports with reviewer sign-off (Jan–Jun)</t>
        </is>
      </c>
      <c r="D16" s="9" t="inlineStr">
        <is>
          <t>6 signed Ledgerline vendor-master change reports</t>
        </is>
      </c>
      <c r="E16" s="8" t="inlineStr">
        <is>
          <t>Laura Brenneman</t>
        </is>
      </c>
      <c r="F16" s="10" t="n">
        <v>46183</v>
      </c>
      <c r="G16" s="10" t="n">
        <v>46192</v>
      </c>
      <c r="H16" s="10" t="n">
        <v>46195</v>
      </c>
      <c r="I16" s="8" t="inlineStr">
        <is>
          <t>Accepted</t>
        </is>
      </c>
      <c r="J16" s="8" t="inlineStr">
        <is>
          <t>2026-01 to 2026-06</t>
        </is>
      </c>
      <c r="K16" s="9" t="inlineStr">
        <is>
          <t>GRC-Vault:/WCP-2026/AC/EVID-015_vendor-master-reviews-H1.pdf</t>
        </is>
      </c>
      <c r="L16" s="8" t="inlineStr">
        <is>
          <t>No</t>
        </is>
      </c>
      <c r="M16" s="8" t="inlineStr">
        <is>
          <t>Lead assessor</t>
        </is>
      </c>
      <c r="N16" s="9" t="inlineStr">
        <is>
          <t>6 of 6 signed by Controller within 10 days of month end; 2 bank-detail changes verified by callback</t>
        </is>
      </c>
      <c r="O16" s="8" t="inlineStr">
        <is>
          <t>Operating Effectiveness</t>
        </is>
      </c>
      <c r="P16" s="8" t="inlineStr">
        <is>
          <t>Sufficient</t>
        </is>
      </c>
      <c r="Q16" s="9" t="inlineStr"/>
      <c r="R16" s="9" t="inlineStr">
        <is>
          <t>No</t>
        </is>
      </c>
      <c r="S16" s="8">
        <f>IF(H16="",MAX(0,README!$B$4-G16),MAX(0,H16-G16))</f>
        <v/>
      </c>
      <c r="T16" s="9" t="inlineStr"/>
    </row>
    <row r="17">
      <c r="A17" s="8" t="inlineStr">
        <is>
          <t>EVID-016</t>
        </is>
      </c>
      <c r="B17" s="8" t="inlineStr">
        <is>
          <t>AC-6; AC-6(2); AC-6(5)</t>
        </is>
      </c>
      <c r="C17" s="9" t="inlineStr">
        <is>
          <t>AWS IAM Identity Center permission-set assignments for wcp-prod</t>
        </is>
      </c>
      <c r="D17" s="9" t="inlineStr">
        <is>
          <t>Identity Center assignment export</t>
        </is>
      </c>
      <c r="E17" s="8" t="inlineStr">
        <is>
          <t>Tomasz Wierzbicki</t>
        </is>
      </c>
      <c r="F17" s="10" t="n">
        <v>46183</v>
      </c>
      <c r="G17" s="10" t="n">
        <v>46192</v>
      </c>
      <c r="H17" s="10" t="n">
        <v>46204</v>
      </c>
      <c r="I17" s="8" t="inlineStr">
        <is>
          <t>Accepted</t>
        </is>
      </c>
      <c r="J17" s="8" t="inlineStr">
        <is>
          <t>As of 2026-06-30</t>
        </is>
      </c>
      <c r="K17" s="9" t="inlineStr">
        <is>
          <t>access-review/source-exports/entitlements.csv</t>
        </is>
      </c>
      <c r="L17" s="8" t="inlineStr">
        <is>
          <t>Yes</t>
        </is>
      </c>
      <c r="M17" s="8" t="inlineStr">
        <is>
          <t>Lead assessor</t>
        </is>
      </c>
      <c r="N17" s="9" t="inlineStr">
        <is>
          <t>Admin assignments exceed role definitions</t>
        </is>
      </c>
      <c r="O17" s="8" t="inlineStr">
        <is>
          <t>Implementation</t>
        </is>
      </c>
      <c r="P17" s="8" t="inlineStr">
        <is>
          <t>Sufficient</t>
        </is>
      </c>
      <c r="Q17" s="9" t="inlineStr"/>
      <c r="R17" s="9" t="inlineStr">
        <is>
          <t>No</t>
        </is>
      </c>
      <c r="S17" s="8">
        <f>IF(H17="",MAX(0,README!$B$4-G17),MAX(0,H17-G17))</f>
        <v/>
      </c>
      <c r="T17" s="9" t="inlineStr"/>
    </row>
    <row r="18">
      <c r="A18" s="8" t="inlineStr">
        <is>
          <t>EVID-017</t>
        </is>
      </c>
      <c r="B18" s="8" t="inlineStr">
        <is>
          <t>AC-6(5)</t>
        </is>
      </c>
      <c r="C18" s="9" t="inlineStr">
        <is>
          <t>GitHub organization owners and repository admins</t>
        </is>
      </c>
      <c r="D18" s="9" t="inlineStr">
        <is>
          <t>GitHub org member export (role=owner/admin)</t>
        </is>
      </c>
      <c r="E18" s="8" t="inlineStr">
        <is>
          <t>Grace Lindqvist</t>
        </is>
      </c>
      <c r="F18" s="10" t="n">
        <v>46183</v>
      </c>
      <c r="G18" s="10" t="n">
        <v>46192</v>
      </c>
      <c r="H18" s="10" t="n">
        <v>46204</v>
      </c>
      <c r="I18" s="8" t="inlineStr">
        <is>
          <t>Accepted</t>
        </is>
      </c>
      <c r="J18" s="8" t="inlineStr">
        <is>
          <t>As of 2026-06-30</t>
        </is>
      </c>
      <c r="K18" s="9" t="inlineStr">
        <is>
          <t>access-review/source-exports/entitlements.csv</t>
        </is>
      </c>
      <c r="L18" s="8" t="inlineStr">
        <is>
          <t>Yes</t>
        </is>
      </c>
      <c r="M18" s="8" t="inlineStr">
        <is>
          <t>Lead assessor</t>
        </is>
      </c>
      <c r="N18" s="9" t="inlineStr">
        <is>
          <t>5 owners vs maximum 3</t>
        </is>
      </c>
      <c r="O18" s="8" t="inlineStr">
        <is>
          <t>Implementation</t>
        </is>
      </c>
      <c r="P18" s="8" t="inlineStr">
        <is>
          <t>Sufficient</t>
        </is>
      </c>
      <c r="Q18" s="9" t="inlineStr"/>
      <c r="R18" s="9" t="inlineStr">
        <is>
          <t>No</t>
        </is>
      </c>
      <c r="S18" s="8">
        <f>IF(H18="",MAX(0,README!$B$4-G18),MAX(0,H18-G18))</f>
        <v/>
      </c>
      <c r="T18" s="9" t="inlineStr"/>
    </row>
    <row r="19">
      <c r="A19" s="8" t="inlineStr">
        <is>
          <t>EVID-018</t>
        </is>
      </c>
      <c r="B19" s="8" t="inlineStr">
        <is>
          <t>AC-17</t>
        </is>
      </c>
      <c r="C19" s="9" t="inlineStr">
        <is>
          <t>Remote administrative access architecture and session logging configuration</t>
        </is>
      </c>
      <c r="D19" s="9" t="inlineStr">
        <is>
          <t>SSM Session Manager preferences + network exposure report</t>
        </is>
      </c>
      <c r="E19" s="8" t="inlineStr">
        <is>
          <t>Tomasz Wierzbicki</t>
        </is>
      </c>
      <c r="F19" s="10" t="n">
        <v>46183</v>
      </c>
      <c r="G19" s="10" t="n">
        <v>46192</v>
      </c>
      <c r="H19" s="10" t="n">
        <v>46197</v>
      </c>
      <c r="I19" s="8" t="inlineStr">
        <is>
          <t>Accepted</t>
        </is>
      </c>
      <c r="J19" s="8" t="inlineStr">
        <is>
          <t>As of 2026-06-30</t>
        </is>
      </c>
      <c r="K19" s="9" t="inlineStr">
        <is>
          <t>GRC-Vault:/WCP-2026/AC/EVID-018_ssm-session-prefs.json</t>
        </is>
      </c>
      <c r="L19" s="8" t="inlineStr">
        <is>
          <t>No</t>
        </is>
      </c>
      <c r="M19" s="8" t="inlineStr">
        <is>
          <t>Lead assessor</t>
        </is>
      </c>
      <c r="N19" s="9" t="inlineStr">
        <is>
          <t>Sessions logged and encrypted; no public bastions</t>
        </is>
      </c>
      <c r="O19" s="8" t="inlineStr">
        <is>
          <t>Implementation</t>
        </is>
      </c>
      <c r="P19" s="8" t="inlineStr">
        <is>
          <t>Sufficient</t>
        </is>
      </c>
      <c r="Q19" s="9" t="inlineStr"/>
      <c r="R19" s="9" t="inlineStr">
        <is>
          <t>No</t>
        </is>
      </c>
      <c r="S19" s="8">
        <f>IF(H19="",MAX(0,README!$B$4-G19),MAX(0,H19-G19))</f>
        <v/>
      </c>
      <c r="T19" s="9" t="inlineStr"/>
    </row>
    <row r="20">
      <c r="A20" s="8" t="inlineStr">
        <is>
          <t>EVID-019</t>
        </is>
      </c>
      <c r="B20" s="8" t="inlineStr">
        <is>
          <t>AT-2</t>
        </is>
      </c>
      <c r="C20" s="9" t="inlineStr">
        <is>
          <t>LMS completion report for annual security awareness (full workforce) and phishing simulation results</t>
        </is>
      </c>
      <c r="D20" s="9" t="inlineStr">
        <is>
          <t>LMS report + simulation summary</t>
        </is>
      </c>
      <c r="E20" s="8" t="inlineStr">
        <is>
          <t>Denise Yamamoto</t>
        </is>
      </c>
      <c r="F20" s="10" t="n">
        <v>46183</v>
      </c>
      <c r="G20" s="10" t="n">
        <v>46192</v>
      </c>
      <c r="H20" s="10" t="n">
        <v>46199</v>
      </c>
      <c r="I20" s="8" t="inlineStr">
        <is>
          <t>Accepted</t>
        </is>
      </c>
      <c r="J20" s="8" t="inlineStr">
        <is>
          <t>FY2026 cycle as of 2026-06-30</t>
        </is>
      </c>
      <c r="K20" s="9" t="inlineStr">
        <is>
          <t>GRC-Vault:/WCP-2026/AT/EVID-019_lms-completion-2026-06-30.csv</t>
        </is>
      </c>
      <c r="L20" s="8" t="inlineStr">
        <is>
          <t>No</t>
        </is>
      </c>
      <c r="M20" s="8" t="inlineStr">
        <is>
          <t>Lead assessor</t>
        </is>
      </c>
      <c r="N20" s="9" t="inlineStr">
        <is>
          <t>316 of 347 complete (91%); 4 overdue users hold PHI access</t>
        </is>
      </c>
      <c r="O20" s="8" t="inlineStr">
        <is>
          <t>Operating Effectiveness</t>
        </is>
      </c>
      <c r="P20" s="8" t="inlineStr">
        <is>
          <t>Sufficient</t>
        </is>
      </c>
      <c r="Q20" s="9" t="inlineStr"/>
      <c r="R20" s="9" t="inlineStr">
        <is>
          <t>No</t>
        </is>
      </c>
      <c r="S20" s="8">
        <f>IF(H20="",MAX(0,README!$B$4-G20),MAX(0,H20-G20))</f>
        <v/>
      </c>
      <c r="T20" s="9" t="inlineStr"/>
    </row>
    <row r="21">
      <c r="A21" s="8" t="inlineStr">
        <is>
          <t>EVID-020</t>
        </is>
      </c>
      <c r="B21" s="8" t="inlineStr">
        <is>
          <t>AT-3</t>
        </is>
      </c>
      <c r="C21" s="9" t="inlineStr">
        <is>
          <t>Role-based training completion for engineers, admins, clinical/support staff</t>
        </is>
      </c>
      <c r="D21" s="9" t="inlineStr">
        <is>
          <t>LMS role-group reports</t>
        </is>
      </c>
      <c r="E21" s="8" t="inlineStr">
        <is>
          <t>Denise Yamamoto</t>
        </is>
      </c>
      <c r="F21" s="10" t="n">
        <v>46183</v>
      </c>
      <c r="G21" s="10" t="n">
        <v>46192</v>
      </c>
      <c r="H21" s="10" t="n">
        <v>46199</v>
      </c>
      <c r="I21" s="8" t="inlineStr">
        <is>
          <t>Accepted</t>
        </is>
      </c>
      <c r="J21" s="8" t="inlineStr">
        <is>
          <t>2026-01-01 to 2026-06-30</t>
        </is>
      </c>
      <c r="K21" s="9" t="inlineStr">
        <is>
          <t>GRC-Vault:/WCP-2026/AT/EVID-020_role-training.csv</t>
        </is>
      </c>
      <c r="L21" s="8" t="inlineStr">
        <is>
          <t>No</t>
        </is>
      </c>
      <c r="M21" s="8" t="inlineStr">
        <is>
          <t>Lead assessor</t>
        </is>
      </c>
      <c r="N21" s="9" t="inlineStr">
        <is>
          <t>15 of 15 sampled complete</t>
        </is>
      </c>
      <c r="O21" s="8" t="inlineStr">
        <is>
          <t>Operating Effectiveness</t>
        </is>
      </c>
      <c r="P21" s="8" t="inlineStr">
        <is>
          <t>Sufficient</t>
        </is>
      </c>
      <c r="Q21" s="9" t="inlineStr"/>
      <c r="R21" s="9" t="inlineStr">
        <is>
          <t>No</t>
        </is>
      </c>
      <c r="S21" s="8">
        <f>IF(H21="",MAX(0,README!$B$4-G21),MAX(0,H21-G21))</f>
        <v/>
      </c>
      <c r="T21" s="9" t="inlineStr"/>
    </row>
    <row r="22">
      <c r="A22" s="8" t="inlineStr">
        <is>
          <t>EVID-021</t>
        </is>
      </c>
      <c r="B22" s="8" t="inlineStr">
        <is>
          <t>AU-2</t>
        </is>
      </c>
      <c r="C22" s="9" t="inlineStr">
        <is>
          <t>Logging standard, trail configurations, and sample events for required types</t>
        </is>
      </c>
      <c r="D22" s="9" t="inlineStr">
        <is>
          <t>LMS-004 + CloudTrail/EKS/app-audit configs + 10 traced events</t>
        </is>
      </c>
      <c r="E22" s="8" t="inlineStr">
        <is>
          <t>Owen Castillo</t>
        </is>
      </c>
      <c r="F22" s="10" t="n">
        <v>46183</v>
      </c>
      <c r="G22" s="10" t="n">
        <v>46192</v>
      </c>
      <c r="H22" s="10" t="n">
        <v>46197</v>
      </c>
      <c r="I22" s="8" t="inlineStr">
        <is>
          <t>Accepted</t>
        </is>
      </c>
      <c r="J22" s="8" t="inlineStr">
        <is>
          <t>As of 2026-06-30</t>
        </is>
      </c>
      <c r="K22" s="9" t="inlineStr">
        <is>
          <t>GRC-Vault:/WCP-2026/AU/EVID-021_logging-config-and-samples.zip</t>
        </is>
      </c>
      <c r="L22" s="8" t="inlineStr">
        <is>
          <t>No</t>
        </is>
      </c>
      <c r="M22" s="8" t="inlineStr">
        <is>
          <t>Lead assessor</t>
        </is>
      </c>
      <c r="N22" s="9" t="inlineStr">
        <is>
          <t>10 of 10 required event types present with required fields</t>
        </is>
      </c>
      <c r="O22" s="8" t="inlineStr">
        <is>
          <t>Implementation</t>
        </is>
      </c>
      <c r="P22" s="8" t="inlineStr">
        <is>
          <t>Sufficient</t>
        </is>
      </c>
      <c r="Q22" s="9" t="inlineStr"/>
      <c r="R22" s="9" t="inlineStr">
        <is>
          <t>No</t>
        </is>
      </c>
      <c r="S22" s="8">
        <f>IF(H22="",MAX(0,README!$B$4-G22),MAX(0,H22-G22))</f>
        <v/>
      </c>
      <c r="T22" s="9" t="inlineStr"/>
    </row>
    <row r="23">
      <c r="A23" s="8" t="inlineStr">
        <is>
          <t>EVID-022</t>
        </is>
      </c>
      <c r="B23" s="8" t="inlineStr">
        <is>
          <t>AU-6</t>
        </is>
      </c>
      <c r="C23" s="9" t="inlineStr">
        <is>
          <t>All weekly privileged-activity review tickets W01–W26</t>
        </is>
      </c>
      <c r="D23" s="9" t="inlineStr">
        <is>
          <t>SEC ticket export</t>
        </is>
      </c>
      <c r="E23" s="8" t="inlineStr">
        <is>
          <t>Owen Castillo</t>
        </is>
      </c>
      <c r="F23" s="10" t="n">
        <v>46183</v>
      </c>
      <c r="G23" s="10" t="n">
        <v>46192</v>
      </c>
      <c r="H23" s="10" t="n">
        <v>46199</v>
      </c>
      <c r="I23" s="8" t="inlineStr">
        <is>
          <t>Accepted</t>
        </is>
      </c>
      <c r="J23" s="8" t="inlineStr">
        <is>
          <t>2026-W01 to 2026-W26</t>
        </is>
      </c>
      <c r="K23" s="9" t="inlineStr">
        <is>
          <t>evidence/AU/EVID-022_privileged-activity-reviews-2026H1.csv</t>
        </is>
      </c>
      <c r="L23" s="8" t="inlineStr">
        <is>
          <t>Yes</t>
        </is>
      </c>
      <c r="M23" s="8" t="inlineStr">
        <is>
          <t>Lead assessor</t>
        </is>
      </c>
      <c r="N23" s="9" t="inlineStr">
        <is>
          <t>19 of 26 performed; 17 of 26 fully effective</t>
        </is>
      </c>
      <c r="O23" s="8" t="inlineStr">
        <is>
          <t>Operating Effectiveness</t>
        </is>
      </c>
      <c r="P23" s="8" t="inlineStr">
        <is>
          <t>Sufficient</t>
        </is>
      </c>
      <c r="Q23" s="9" t="inlineStr"/>
      <c r="R23" s="9" t="inlineStr">
        <is>
          <t>No</t>
        </is>
      </c>
      <c r="S23" s="8">
        <f>IF(H23="",MAX(0,README!$B$4-G23),MAX(0,H23-G23))</f>
        <v/>
      </c>
      <c r="T23" s="9" t="inlineStr"/>
    </row>
    <row r="24">
      <c r="A24" s="8" t="inlineStr">
        <is>
          <t>EVID-023</t>
        </is>
      </c>
      <c r="B24" s="8" t="inlineStr">
        <is>
          <t>AU-9</t>
        </is>
      </c>
      <c r="C24" s="9" t="inlineStr">
        <is>
          <t>Log archive bucket protections and SCPs</t>
        </is>
      </c>
      <c r="D24" s="9" t="inlineStr">
        <is>
          <t>S3 Object Lock config + bucket policy + SCP JSON</t>
        </is>
      </c>
      <c r="E24" s="8" t="inlineStr">
        <is>
          <t>Owen Castillo</t>
        </is>
      </c>
      <c r="F24" s="10" t="n">
        <v>46183</v>
      </c>
      <c r="G24" s="10" t="n">
        <v>46192</v>
      </c>
      <c r="H24" s="10" t="n">
        <v>46197</v>
      </c>
      <c r="I24" s="8" t="inlineStr">
        <is>
          <t>Accepted</t>
        </is>
      </c>
      <c r="J24" s="8" t="inlineStr">
        <is>
          <t>As of 2026-06-30</t>
        </is>
      </c>
      <c r="K24" s="9" t="inlineStr">
        <is>
          <t>GRC-Vault:/WCP-2026/AU/EVID-023_log-archive-protections.json</t>
        </is>
      </c>
      <c r="L24" s="8" t="inlineStr">
        <is>
          <t>No</t>
        </is>
      </c>
      <c r="M24" s="8" t="inlineStr">
        <is>
          <t>Lead assessor</t>
        </is>
      </c>
      <c r="N24" s="9" t="inlineStr">
        <is>
          <t>Compliance-mode Object Lock; StopLogging denied</t>
        </is>
      </c>
      <c r="O24" s="8" t="inlineStr">
        <is>
          <t>Implementation</t>
        </is>
      </c>
      <c r="P24" s="8" t="inlineStr">
        <is>
          <t>Sufficient</t>
        </is>
      </c>
      <c r="Q24" s="9" t="inlineStr"/>
      <c r="R24" s="9" t="inlineStr">
        <is>
          <t>No</t>
        </is>
      </c>
      <c r="S24" s="8">
        <f>IF(H24="",MAX(0,README!$B$4-G24),MAX(0,H24-G24))</f>
        <v/>
      </c>
      <c r="T24" s="9" t="inlineStr"/>
    </row>
    <row r="25">
      <c r="A25" s="8" t="inlineStr">
        <is>
          <t>EVID-024</t>
        </is>
      </c>
      <c r="B25" s="8" t="inlineStr">
        <is>
          <t>AU-11</t>
        </is>
      </c>
      <c r="C25" s="9" t="inlineStr">
        <is>
          <t>Retention settings for every audit source plus oldest available record per source</t>
        </is>
      </c>
      <c r="D25" s="9" t="inlineStr">
        <is>
          <t>SIEM retention setting + S3 lifecycle + CloudWatch retention + oldest-record queries</t>
        </is>
      </c>
      <c r="E25" s="8" t="inlineStr">
        <is>
          <t>Owen Castillo</t>
        </is>
      </c>
      <c r="F25" s="10" t="n">
        <v>46183</v>
      </c>
      <c r="G25" s="10" t="n">
        <v>46192</v>
      </c>
      <c r="H25" s="10" t="n">
        <v>46198</v>
      </c>
      <c r="I25" s="8" t="inlineStr">
        <is>
          <t>Accepted</t>
        </is>
      </c>
      <c r="J25" s="8" t="inlineStr">
        <is>
          <t>As of 2026-06-30</t>
        </is>
      </c>
      <c r="K25" s="9" t="inlineStr">
        <is>
          <t>evidence/AU/EVID-024_log-retention-config_2026-06-30.json</t>
        </is>
      </c>
      <c r="L25" s="8" t="inlineStr">
        <is>
          <t>Yes</t>
        </is>
      </c>
      <c r="M25" s="8" t="inlineStr">
        <is>
          <t>Lead assessor</t>
        </is>
      </c>
      <c r="N25" s="9" t="inlineStr">
        <is>
          <t>Retention 90–180 days vs 12-month requirement</t>
        </is>
      </c>
      <c r="O25" s="8" t="inlineStr">
        <is>
          <t>Implementation</t>
        </is>
      </c>
      <c r="P25" s="8" t="inlineStr">
        <is>
          <t>Sufficient</t>
        </is>
      </c>
      <c r="Q25" s="9" t="inlineStr"/>
      <c r="R25" s="9" t="inlineStr">
        <is>
          <t>No</t>
        </is>
      </c>
      <c r="S25" s="8">
        <f>IF(H25="",MAX(0,README!$B$4-G25),MAX(0,H25-G25))</f>
        <v/>
      </c>
      <c r="T25" s="9" t="inlineStr"/>
    </row>
    <row r="26">
      <c r="A26" s="8" t="inlineStr">
        <is>
          <t>EVID-025</t>
        </is>
      </c>
      <c r="B26" s="8" t="inlineStr">
        <is>
          <t>CA-2</t>
        </is>
      </c>
      <c r="C26" s="9" t="inlineStr">
        <is>
          <t>Most recent SOC 2 Type II report and external penetration test report</t>
        </is>
      </c>
      <c r="D26" s="9" t="inlineStr">
        <is>
          <t>SOC 2 Type II (2024-10-01 to 2025-09-30) + 2025 pentest summary and retest letter</t>
        </is>
      </c>
      <c r="E26" s="8" t="inlineStr">
        <is>
          <t>Priya Raman</t>
        </is>
      </c>
      <c r="F26" s="10" t="n">
        <v>46183</v>
      </c>
      <c r="G26" s="10" t="n">
        <v>46192</v>
      </c>
      <c r="H26" s="10" t="n">
        <v>46185</v>
      </c>
      <c r="I26" s="8" t="inlineStr">
        <is>
          <t>Accepted</t>
        </is>
      </c>
      <c r="J26" s="8" t="inlineStr">
        <is>
          <t>FY2025</t>
        </is>
      </c>
      <c r="K26" s="9" t="inlineStr">
        <is>
          <t>GRC-Vault:/WCP-2026/CA/EVID-025_soc2-and-pentest.pdf</t>
        </is>
      </c>
      <c r="L26" s="8" t="inlineStr">
        <is>
          <t>No</t>
        </is>
      </c>
      <c r="M26" s="8" t="inlineStr">
        <is>
          <t>Lead assessor</t>
        </is>
      </c>
      <c r="N26" s="9" t="inlineStr">
        <is>
          <t>Independent assessments at defined frequency</t>
        </is>
      </c>
      <c r="O26" s="8" t="inlineStr">
        <is>
          <t>Operating Effectiveness</t>
        </is>
      </c>
      <c r="P26" s="8" t="inlineStr">
        <is>
          <t>Sufficient</t>
        </is>
      </c>
      <c r="Q26" s="9" t="inlineStr"/>
      <c r="R26" s="9" t="inlineStr">
        <is>
          <t>No</t>
        </is>
      </c>
      <c r="S26" s="8">
        <f>IF(H26="",MAX(0,README!$B$4-G26),MAX(0,H26-G26))</f>
        <v/>
      </c>
      <c r="T26" s="9" t="inlineStr"/>
    </row>
    <row r="27">
      <c r="A27" s="8" t="inlineStr">
        <is>
          <t>EVID-026</t>
        </is>
      </c>
      <c r="B27" s="8" t="inlineStr">
        <is>
          <t>CA-3; SA-9</t>
        </is>
      </c>
      <c r="C27" s="9" t="inlineStr">
        <is>
          <t>Quarrystone MSA/BAA and data sharing specification; 3 customer interface specs</t>
        </is>
      </c>
      <c r="D27" s="9" t="inlineStr">
        <is>
          <t>Contracts + Data Sharing Specification v2 + 3 interface specs</t>
        </is>
      </c>
      <c r="E27" s="8" t="inlineStr">
        <is>
          <t>Liam Porter</t>
        </is>
      </c>
      <c r="F27" s="10" t="n">
        <v>46183</v>
      </c>
      <c r="G27" s="10" t="n">
        <v>46192</v>
      </c>
      <c r="H27" s="10" t="n">
        <v>46192</v>
      </c>
      <c r="I27" s="8" t="inlineStr">
        <is>
          <t>Accepted</t>
        </is>
      </c>
      <c r="J27" s="8" t="inlineStr">
        <is>
          <t>Current</t>
        </is>
      </c>
      <c r="K27" s="9" t="inlineStr">
        <is>
          <t>GRC-Vault:/WCP-2026/CA/EVID-026_interconnection-agreements.zip</t>
        </is>
      </c>
      <c r="L27" s="8" t="inlineStr">
        <is>
          <t>No</t>
        </is>
      </c>
      <c r="M27" s="8" t="inlineStr">
        <is>
          <t>Lead assessor</t>
        </is>
      </c>
      <c r="N27" s="9" t="inlineStr">
        <is>
          <t>Agreements present; Quarrystone terms inadequate (see VR-002/005)</t>
        </is>
      </c>
      <c r="O27" s="8" t="inlineStr">
        <is>
          <t>Design</t>
        </is>
      </c>
      <c r="P27" s="8" t="inlineStr">
        <is>
          <t>Sufficient</t>
        </is>
      </c>
      <c r="Q27" s="9" t="inlineStr"/>
      <c r="R27" s="9" t="inlineStr">
        <is>
          <t>No</t>
        </is>
      </c>
      <c r="S27" s="8">
        <f>IF(H27="",MAX(0,README!$B$4-G27),MAX(0,H27-G27))</f>
        <v/>
      </c>
      <c r="T27" s="9" t="inlineStr"/>
    </row>
    <row r="28">
      <c r="A28" s="8" t="inlineStr">
        <is>
          <t>EVID-027</t>
        </is>
      </c>
      <c r="B28" s="8" t="inlineStr">
        <is>
          <t>CA-5; RA-7</t>
        </is>
      </c>
      <c r="C28" s="9" t="inlineStr">
        <is>
          <t>Existing security issue tracking (pre-assessment)</t>
        </is>
      </c>
      <c r="D28" s="9" t="inlineStr">
        <is>
          <t>Jira SECISSUE export (37 items)</t>
        </is>
      </c>
      <c r="E28" s="8" t="inlineStr">
        <is>
          <t>Priya Raman</t>
        </is>
      </c>
      <c r="F28" s="10" t="n">
        <v>46183</v>
      </c>
      <c r="G28" s="10" t="n">
        <v>46192</v>
      </c>
      <c r="H28" s="10" t="n">
        <v>46188</v>
      </c>
      <c r="I28" s="8" t="inlineStr">
        <is>
          <t>Accepted</t>
        </is>
      </c>
      <c r="J28" s="8" t="inlineStr">
        <is>
          <t>2025-07-01 to 2026-06-30</t>
        </is>
      </c>
      <c r="K28" s="9" t="inlineStr">
        <is>
          <t>GRC-Vault:/WCP-2026/CA/EVID-027_secissue-export.csv</t>
        </is>
      </c>
      <c r="L28" s="8" t="inlineStr">
        <is>
          <t>No</t>
        </is>
      </c>
      <c r="M28" s="8" t="inlineStr">
        <is>
          <t>Lead assessor</t>
        </is>
      </c>
      <c r="N28" s="9" t="inlineStr">
        <is>
          <t>100% with owner and due date; 4 overdue</t>
        </is>
      </c>
      <c r="O28" s="8" t="inlineStr">
        <is>
          <t>Operating Effectiveness</t>
        </is>
      </c>
      <c r="P28" s="8" t="inlineStr">
        <is>
          <t>Sufficient</t>
        </is>
      </c>
      <c r="Q28" s="9" t="inlineStr"/>
      <c r="R28" s="9" t="inlineStr">
        <is>
          <t>No</t>
        </is>
      </c>
      <c r="S28" s="8">
        <f>IF(H28="",MAX(0,README!$B$4-G28),MAX(0,H28-G28))</f>
        <v/>
      </c>
      <c r="T28" s="9" t="inlineStr"/>
    </row>
    <row r="29">
      <c r="A29" s="8" t="inlineStr">
        <is>
          <t>EVID-028</t>
        </is>
      </c>
      <c r="B29" s="8" t="inlineStr">
        <is>
          <t>CM-6; CA-7; SC-7; AC-17</t>
        </is>
      </c>
      <c r="C29" s="9" t="inlineStr">
        <is>
          <t>Security Hub CIS benchmark results and finding history</t>
        </is>
      </c>
      <c r="D29" s="9" t="inlineStr">
        <is>
          <t>Security Hub summary + finding history export</t>
        </is>
      </c>
      <c r="E29" s="8" t="inlineStr">
        <is>
          <t>Tomasz Wierzbicki</t>
        </is>
      </c>
      <c r="F29" s="10" t="n">
        <v>46183</v>
      </c>
      <c r="G29" s="10" t="n">
        <v>46192</v>
      </c>
      <c r="H29" s="10" t="n">
        <v>46197</v>
      </c>
      <c r="I29" s="8" t="inlineStr">
        <is>
          <t>Accepted</t>
        </is>
      </c>
      <c r="J29" s="8" t="inlineStr">
        <is>
          <t>2026-01-01 to 2026-06-30</t>
        </is>
      </c>
      <c r="K29" s="9" t="inlineStr">
        <is>
          <t>GRC-Vault:/WCP-2026/CM/EVID-028_securityhub.csv</t>
        </is>
      </c>
      <c r="L29" s="8" t="inlineStr">
        <is>
          <t>No</t>
        </is>
      </c>
      <c r="M29" s="8" t="inlineStr">
        <is>
          <t>Lead assessor</t>
        </is>
      </c>
      <c r="N29" s="9" t="inlineStr">
        <is>
          <t>97% passing; 3 High findings untriaged &gt; 30 days</t>
        </is>
      </c>
      <c r="O29" s="8" t="inlineStr">
        <is>
          <t>Implementation</t>
        </is>
      </c>
      <c r="P29" s="8" t="inlineStr">
        <is>
          <t>Sufficient</t>
        </is>
      </c>
      <c r="Q29" s="9" t="inlineStr"/>
      <c r="R29" s="9" t="inlineStr">
        <is>
          <t>No</t>
        </is>
      </c>
      <c r="S29" s="8">
        <f>IF(H29="",MAX(0,README!$B$4-G29),MAX(0,H29-G29))</f>
        <v/>
      </c>
      <c r="T29" s="9" t="inlineStr"/>
    </row>
    <row r="30">
      <c r="A30" s="8" t="inlineStr">
        <is>
          <t>EVID-029</t>
        </is>
      </c>
      <c r="B30" s="8" t="inlineStr">
        <is>
          <t>CM-2</t>
        </is>
      </c>
      <c r="C30" s="9" t="inlineStr">
        <is>
          <t>Terraform baseline and AMI build specification; drift check output</t>
        </is>
      </c>
      <c r="D30" s="9" t="inlineStr">
        <is>
          <t>Repo links + AMI pipeline spec + drift plan output (3 modules)</t>
        </is>
      </c>
      <c r="E30" s="8" t="inlineStr">
        <is>
          <t>Tomasz Wierzbicki</t>
        </is>
      </c>
      <c r="F30" s="10" t="n">
        <v>46183</v>
      </c>
      <c r="G30" s="10" t="n">
        <v>46192</v>
      </c>
      <c r="H30" s="10" t="n">
        <v>46197</v>
      </c>
      <c r="I30" s="8" t="inlineStr">
        <is>
          <t>Accepted</t>
        </is>
      </c>
      <c r="J30" s="8" t="inlineStr">
        <is>
          <t>As of 2026-06-30</t>
        </is>
      </c>
      <c r="K30" s="9" t="inlineStr">
        <is>
          <t>GRC-Vault:/WCP-2026/CM/EVID-029_baseline.zip</t>
        </is>
      </c>
      <c r="L30" s="8" t="inlineStr">
        <is>
          <t>No</t>
        </is>
      </c>
      <c r="M30" s="8" t="inlineStr">
        <is>
          <t>Lead assessor</t>
        </is>
      </c>
      <c r="N30" s="9" t="inlineStr">
        <is>
          <t>No drift in sampled modules</t>
        </is>
      </c>
      <c r="O30" s="8" t="inlineStr">
        <is>
          <t>Implementation</t>
        </is>
      </c>
      <c r="P30" s="8" t="inlineStr">
        <is>
          <t>Sufficient</t>
        </is>
      </c>
      <c r="Q30" s="9" t="inlineStr"/>
      <c r="R30" s="9" t="inlineStr">
        <is>
          <t>No</t>
        </is>
      </c>
      <c r="S30" s="8">
        <f>IF(H30="",MAX(0,README!$B$4-G30),MAX(0,H30-G30))</f>
        <v/>
      </c>
      <c r="T30" s="9" t="inlineStr"/>
    </row>
    <row r="31">
      <c r="A31" s="8" t="inlineStr">
        <is>
          <t>EVID-030</t>
        </is>
      </c>
      <c r="B31" s="8" t="inlineStr">
        <is>
          <t>CM-3</t>
        </is>
      </c>
      <c r="C31" s="9" t="inlineStr">
        <is>
          <t>Population of production changes (212) and full records for the 25 sampled (seed 20260618)</t>
        </is>
      </c>
      <c r="D31" s="9" t="inlineStr">
        <is>
          <t>Jira CHG export + PR/deploy records</t>
        </is>
      </c>
      <c r="E31" s="8" t="inlineStr">
        <is>
          <t>Tomasz Wierzbicki</t>
        </is>
      </c>
      <c r="F31" s="10" t="n">
        <v>46183</v>
      </c>
      <c r="G31" s="10" t="n">
        <v>46192</v>
      </c>
      <c r="H31" s="10" t="n">
        <v>46202</v>
      </c>
      <c r="I31" s="8" t="inlineStr">
        <is>
          <t>Accepted</t>
        </is>
      </c>
      <c r="J31" s="8" t="inlineStr">
        <is>
          <t>2026-01-01 to 2026-06-30</t>
        </is>
      </c>
      <c r="K31" s="9" t="inlineStr">
        <is>
          <t>evidence/CM/EVID-030_change-sample-2026H1.csv</t>
        </is>
      </c>
      <c r="L31" s="8" t="inlineStr">
        <is>
          <t>Yes</t>
        </is>
      </c>
      <c r="M31" s="8" t="inlineStr">
        <is>
          <t>Lead assessor</t>
        </is>
      </c>
      <c r="N31" s="9" t="inlineStr">
        <is>
          <t>3 of 25 exceptions</t>
        </is>
      </c>
      <c r="O31" s="8" t="inlineStr">
        <is>
          <t>Operating Effectiveness</t>
        </is>
      </c>
      <c r="P31" s="8" t="inlineStr">
        <is>
          <t>Sufficient</t>
        </is>
      </c>
      <c r="Q31" s="9" t="inlineStr"/>
      <c r="R31" s="9" t="inlineStr">
        <is>
          <t>No</t>
        </is>
      </c>
      <c r="S31" s="8">
        <f>IF(H31="",MAX(0,README!$B$4-G31),MAX(0,H31-G31))</f>
        <v/>
      </c>
      <c r="T31" s="9" t="inlineStr"/>
    </row>
    <row r="32">
      <c r="A32" s="8" t="inlineStr">
        <is>
          <t>EVID-031</t>
        </is>
      </c>
      <c r="B32" s="8" t="inlineStr">
        <is>
          <t>CM-8; RA-5</t>
        </is>
      </c>
      <c r="C32" s="9" t="inlineStr">
        <is>
          <t>Asset inventory (AWS Config aggregator + MDM) with tag compliance</t>
        </is>
      </c>
      <c r="D32" s="9" t="inlineStr">
        <is>
          <t>Config resource inventory + MDM export + tag-compliance report</t>
        </is>
      </c>
      <c r="E32" s="8" t="inlineStr">
        <is>
          <t>Tomasz Wierzbicki</t>
        </is>
      </c>
      <c r="F32" s="10" t="n">
        <v>46183</v>
      </c>
      <c r="G32" s="10" t="n">
        <v>46192</v>
      </c>
      <c r="H32" s="10" t="n">
        <v>46197</v>
      </c>
      <c r="I32" s="8" t="inlineStr">
        <is>
          <t>Accepted</t>
        </is>
      </c>
      <c r="J32" s="8" t="inlineStr">
        <is>
          <t>As of 2026-06-30</t>
        </is>
      </c>
      <c r="K32" s="9" t="inlineStr">
        <is>
          <t>GRC-Vault:/WCP-2026/CM/EVID-031_inventory.zip</t>
        </is>
      </c>
      <c r="L32" s="8" t="inlineStr">
        <is>
          <t>No</t>
        </is>
      </c>
      <c r="M32" s="8" t="inlineStr">
        <is>
          <t>Lead assessor</t>
        </is>
      </c>
      <c r="N32" s="9" t="inlineStr">
        <is>
          <t>Complete; 93% owner-tag compliance</t>
        </is>
      </c>
      <c r="O32" s="8" t="inlineStr">
        <is>
          <t>Implementation</t>
        </is>
      </c>
      <c r="P32" s="8" t="inlineStr">
        <is>
          <t>Sufficient</t>
        </is>
      </c>
      <c r="Q32" s="9" t="inlineStr"/>
      <c r="R32" s="9" t="inlineStr">
        <is>
          <t>No</t>
        </is>
      </c>
      <c r="S32" s="8">
        <f>IF(H32="",MAX(0,README!$B$4-G32),MAX(0,H32-G32))</f>
        <v/>
      </c>
      <c r="T32" s="9" t="inlineStr"/>
    </row>
    <row r="33">
      <c r="A33" s="8" t="inlineStr">
        <is>
          <t>EVID-032</t>
        </is>
      </c>
      <c r="B33" s="8" t="inlineStr">
        <is>
          <t>CP-2</t>
        </is>
      </c>
      <c r="C33" s="9" t="inlineStr">
        <is>
          <t>Current BC/DR plan</t>
        </is>
      </c>
      <c r="D33" s="9" t="inlineStr">
        <is>
          <t>BCP-003 v2.1 (2025-11)</t>
        </is>
      </c>
      <c r="E33" s="8" t="inlineStr">
        <is>
          <t>Tomasz Wierzbicki</t>
        </is>
      </c>
      <c r="F33" s="10" t="n">
        <v>46183</v>
      </c>
      <c r="G33" s="10" t="n">
        <v>46192</v>
      </c>
      <c r="H33" s="10" t="n">
        <v>46185</v>
      </c>
      <c r="I33" s="8" t="inlineStr">
        <is>
          <t>Accepted</t>
        </is>
      </c>
      <c r="J33" s="8" t="inlineStr">
        <is>
          <t>Current version</t>
        </is>
      </c>
      <c r="K33" s="9" t="inlineStr">
        <is>
          <t>GRC-Vault:/WCP-2026/CP/EVID-032_BCP-003_v2.1.pdf</t>
        </is>
      </c>
      <c r="L33" s="8" t="inlineStr">
        <is>
          <t>No</t>
        </is>
      </c>
      <c r="M33" s="8" t="inlineStr">
        <is>
          <t>Lead assessor</t>
        </is>
      </c>
      <c r="N33" s="9" t="inlineStr">
        <is>
          <t>Adequate design with RTO 4h / RPO 1h</t>
        </is>
      </c>
      <c r="O33" s="8" t="inlineStr">
        <is>
          <t>Design</t>
        </is>
      </c>
      <c r="P33" s="8" t="inlineStr">
        <is>
          <t>Sufficient</t>
        </is>
      </c>
      <c r="Q33" s="9" t="inlineStr"/>
      <c r="R33" s="9" t="inlineStr">
        <is>
          <t>No</t>
        </is>
      </c>
      <c r="S33" s="8">
        <f>IF(H33="",MAX(0,README!$B$4-G33),MAX(0,H33-G33))</f>
        <v/>
      </c>
      <c r="T33" s="9" t="inlineStr"/>
    </row>
    <row r="34">
      <c r="A34" s="8" t="inlineStr">
        <is>
          <t>EVID-033</t>
        </is>
      </c>
      <c r="B34" s="8" t="inlineStr">
        <is>
          <t>CP-4</t>
        </is>
      </c>
      <c r="C34" s="9" t="inlineStr">
        <is>
          <t>Contingency plan test records (last 24 months)</t>
        </is>
      </c>
      <c r="D34" s="9" t="inlineStr">
        <is>
          <t>2024-04 AZ failover engineering notes</t>
        </is>
      </c>
      <c r="E34" s="8" t="inlineStr">
        <is>
          <t>Tomasz Wierzbicki</t>
        </is>
      </c>
      <c r="F34" s="10" t="n">
        <v>46183</v>
      </c>
      <c r="G34" s="10" t="n">
        <v>46192</v>
      </c>
      <c r="H34" s="10" t="n">
        <v>46199</v>
      </c>
      <c r="I34" s="8" t="inlineStr">
        <is>
          <t>Insufficient</t>
        </is>
      </c>
      <c r="J34" s="8" t="inlineStr">
        <is>
          <t>2024-07-01 to 2026-06-30</t>
        </is>
      </c>
      <c r="K34" s="9" t="inlineStr">
        <is>
          <t>GRC-Vault:/WCP-2026/CP/EVID-033_az-failover-notes-2024.md</t>
        </is>
      </c>
      <c r="L34" s="8" t="inlineStr">
        <is>
          <t>No</t>
        </is>
      </c>
      <c r="M34" s="8" t="inlineStr">
        <is>
          <t>Lead assessor</t>
        </is>
      </c>
      <c r="N34" s="9" t="inlineStr">
        <is>
          <t>No plan-level test within 12 months; notes are not an after-action report</t>
        </is>
      </c>
      <c r="O34" s="8" t="inlineStr">
        <is>
          <t>Design</t>
        </is>
      </c>
      <c r="P34" s="8" t="inlineStr">
        <is>
          <t>Insufficient</t>
        </is>
      </c>
      <c r="Q34" s="9" t="inlineStr">
        <is>
          <t>No CP test in period</t>
        </is>
      </c>
      <c r="R34" s="9" t="inlineStr">
        <is>
          <t>Yes: POAM-014</t>
        </is>
      </c>
      <c r="S34" s="8">
        <f>IF(H34="",MAX(0,README!$B$4-G34),MAX(0,H34-G34))</f>
        <v/>
      </c>
      <c r="T34" s="9" t="inlineStr"/>
    </row>
    <row r="35">
      <c r="A35" s="8" t="inlineStr">
        <is>
          <t>EVID-034</t>
        </is>
      </c>
      <c r="B35" s="8" t="inlineStr">
        <is>
          <t>CP-9</t>
        </is>
      </c>
      <c r="C35" s="9" t="inlineStr">
        <is>
          <t>Backup plans, job history (30 days), vault protections</t>
        </is>
      </c>
      <c r="D35" s="9" t="inlineStr">
        <is>
          <t>AWS Backup plan JSON + job history + Vault Lock config</t>
        </is>
      </c>
      <c r="E35" s="8" t="inlineStr">
        <is>
          <t>Tomasz Wierzbicki</t>
        </is>
      </c>
      <c r="F35" s="10" t="n">
        <v>46183</v>
      </c>
      <c r="G35" s="10" t="n">
        <v>46192</v>
      </c>
      <c r="H35" s="10" t="n">
        <v>46197</v>
      </c>
      <c r="I35" s="8" t="inlineStr">
        <is>
          <t>Accepted</t>
        </is>
      </c>
      <c r="J35" s="8" t="inlineStr">
        <is>
          <t>2026-06-01 to 2026-06-30</t>
        </is>
      </c>
      <c r="K35" s="9" t="inlineStr">
        <is>
          <t>GRC-Vault:/WCP-2026/CP/EVID-034_backup-config.zip</t>
        </is>
      </c>
      <c r="L35" s="8" t="inlineStr">
        <is>
          <t>No</t>
        </is>
      </c>
      <c r="M35" s="8" t="inlineStr">
        <is>
          <t>Lead assessor</t>
        </is>
      </c>
      <c r="N35" s="9" t="inlineStr">
        <is>
          <t>30 of 30 jobs successful; Vault Lock compliance mode</t>
        </is>
      </c>
      <c r="O35" s="8" t="inlineStr">
        <is>
          <t>Operating Effectiveness</t>
        </is>
      </c>
      <c r="P35" s="8" t="inlineStr">
        <is>
          <t>Sufficient</t>
        </is>
      </c>
      <c r="Q35" s="9" t="inlineStr"/>
      <c r="R35" s="9" t="inlineStr">
        <is>
          <t>No</t>
        </is>
      </c>
      <c r="S35" s="8">
        <f>IF(H35="",MAX(0,README!$B$4-G35),MAX(0,H35-G35))</f>
        <v/>
      </c>
      <c r="T35" s="9" t="inlineStr"/>
    </row>
    <row r="36">
      <c r="A36" s="8" t="inlineStr">
        <is>
          <t>EVID-035</t>
        </is>
      </c>
      <c r="B36" s="8" t="inlineStr">
        <is>
          <t>CP-9(1)</t>
        </is>
      </c>
      <c r="C36" s="9" t="inlineStr">
        <is>
          <t>Backup restore test records</t>
        </is>
      </c>
      <c r="D36" s="9" t="inlineStr">
        <is>
          <t>Backup job success notifications (no restore records)</t>
        </is>
      </c>
      <c r="E36" s="8" t="inlineStr">
        <is>
          <t>Tomasz Wierzbicki</t>
        </is>
      </c>
      <c r="F36" s="10" t="n">
        <v>46183</v>
      </c>
      <c r="G36" s="10" t="n">
        <v>46192</v>
      </c>
      <c r="H36" s="10" t="n">
        <v>46199</v>
      </c>
      <c r="I36" s="8" t="inlineStr">
        <is>
          <t>Insufficient</t>
        </is>
      </c>
      <c r="J36" s="8" t="inlineStr">
        <is>
          <t>2025-07-01 to 2026-06-30</t>
        </is>
      </c>
      <c r="K36" s="9" t="inlineStr">
        <is>
          <t>GRC-Vault:/WCP-2026/CP/EVID-035_backup-job-notifications.pdf</t>
        </is>
      </c>
      <c r="L36" s="8" t="inlineStr">
        <is>
          <t>No</t>
        </is>
      </c>
      <c r="M36" s="8" t="inlineStr">
        <is>
          <t>Lead assessor</t>
        </is>
      </c>
      <c r="N36" s="9" t="inlineStr">
        <is>
          <t>A successful backup job is not a tested restore</t>
        </is>
      </c>
      <c r="O36" s="8" t="inlineStr">
        <is>
          <t>Implementation</t>
        </is>
      </c>
      <c r="P36" s="8" t="inlineStr">
        <is>
          <t>Insufficient</t>
        </is>
      </c>
      <c r="Q36" s="9" t="inlineStr">
        <is>
          <t>No restore test ever documented</t>
        </is>
      </c>
      <c r="R36" s="9" t="inlineStr">
        <is>
          <t>Yes: POAM-013</t>
        </is>
      </c>
      <c r="S36" s="8">
        <f>IF(H36="",MAX(0,README!$B$4-G36),MAX(0,H36-G36))</f>
        <v/>
      </c>
      <c r="T36" s="9" t="inlineStr"/>
    </row>
    <row r="37">
      <c r="A37" s="8" t="inlineStr">
        <is>
          <t>EVID-036</t>
        </is>
      </c>
      <c r="B37" s="8" t="inlineStr">
        <is>
          <t>IR-8</t>
        </is>
      </c>
      <c r="C37" s="9" t="inlineStr">
        <is>
          <t>Current incident response plan with review history</t>
        </is>
      </c>
      <c r="D37" s="9" t="inlineStr">
        <is>
          <t>IRP-005 v4.0 (reviewed 2025-11)</t>
        </is>
      </c>
      <c r="E37" s="8" t="inlineStr">
        <is>
          <t>Owen Castillo</t>
        </is>
      </c>
      <c r="F37" s="10" t="n">
        <v>46183</v>
      </c>
      <c r="G37" s="10" t="n">
        <v>46192</v>
      </c>
      <c r="H37" s="10" t="n">
        <v>46185</v>
      </c>
      <c r="I37" s="8" t="inlineStr">
        <is>
          <t>Accepted</t>
        </is>
      </c>
      <c r="J37" s="8" t="inlineStr">
        <is>
          <t>Current version</t>
        </is>
      </c>
      <c r="K37" s="9" t="inlineStr">
        <is>
          <t>GRC-Vault:/WCP-2026/IR/EVID-036_IRP-005_v4.0.pdf</t>
        </is>
      </c>
      <c r="L37" s="8" t="inlineStr">
        <is>
          <t>No</t>
        </is>
      </c>
      <c r="M37" s="8" t="inlineStr">
        <is>
          <t>Lead assessor</t>
        </is>
      </c>
      <c r="N37" s="9" t="inlineStr">
        <is>
          <t>Current; stale contact roster (OBS-03)</t>
        </is>
      </c>
      <c r="O37" s="8" t="inlineStr">
        <is>
          <t>Design</t>
        </is>
      </c>
      <c r="P37" s="8" t="inlineStr">
        <is>
          <t>Sufficient</t>
        </is>
      </c>
      <c r="Q37" s="9" t="inlineStr"/>
      <c r="R37" s="9" t="inlineStr">
        <is>
          <t>No</t>
        </is>
      </c>
      <c r="S37" s="8">
        <f>IF(H37="",MAX(0,README!$B$4-G37),MAX(0,H37-G37))</f>
        <v/>
      </c>
      <c r="T37" s="9" t="inlineStr"/>
    </row>
    <row r="38">
      <c r="A38" s="8" t="inlineStr">
        <is>
          <t>EVID-037</t>
        </is>
      </c>
      <c r="B38" s="8" t="inlineStr">
        <is>
          <t>IR-3</t>
        </is>
      </c>
      <c r="C38" s="9" t="inlineStr">
        <is>
          <t>IR test/exercise records (last 24 months)</t>
        </is>
      </c>
      <c r="D38" s="9" t="inlineStr">
        <is>
          <t>2024-09-18 tabletop after-action report</t>
        </is>
      </c>
      <c r="E38" s="8" t="inlineStr">
        <is>
          <t>Owen Castillo</t>
        </is>
      </c>
      <c r="F38" s="10" t="n">
        <v>46183</v>
      </c>
      <c r="G38" s="10" t="n">
        <v>46192</v>
      </c>
      <c r="H38" s="10" t="n">
        <v>46199</v>
      </c>
      <c r="I38" s="8" t="inlineStr">
        <is>
          <t>Insufficient</t>
        </is>
      </c>
      <c r="J38" s="8" t="inlineStr">
        <is>
          <t>2024-07-01 to 2026-06-30</t>
        </is>
      </c>
      <c r="K38" s="9" t="inlineStr">
        <is>
          <t>GRC-Vault:/WCP-2026/IR/EVID-037_tabletop-2024-09.pdf</t>
        </is>
      </c>
      <c r="L38" s="8" t="inlineStr">
        <is>
          <t>No</t>
        </is>
      </c>
      <c r="M38" s="8" t="inlineStr">
        <is>
          <t>Lead assessor</t>
        </is>
      </c>
      <c r="N38" s="9" t="inlineStr">
        <is>
          <t>Most recent exercise 21 months before fieldwork</t>
        </is>
      </c>
      <c r="O38" s="8" t="inlineStr">
        <is>
          <t>Design</t>
        </is>
      </c>
      <c r="P38" s="8" t="inlineStr">
        <is>
          <t>Insufficient</t>
        </is>
      </c>
      <c r="Q38" s="9" t="inlineStr">
        <is>
          <t>No IR test in 12 months</t>
        </is>
      </c>
      <c r="R38" s="9" t="inlineStr">
        <is>
          <t>Yes: POAM-014</t>
        </is>
      </c>
      <c r="S38" s="8">
        <f>IF(H38="",MAX(0,README!$B$4-G38),MAX(0,H38-G38))</f>
        <v/>
      </c>
      <c r="T38" s="9" t="inlineStr"/>
    </row>
    <row r="39">
      <c r="A39" s="8" t="inlineStr">
        <is>
          <t>EVID-038</t>
        </is>
      </c>
      <c r="B39" s="8" t="inlineStr">
        <is>
          <t>IR-4; IR-6; SI-3</t>
        </is>
      </c>
      <c r="C39" s="9" t="inlineStr">
        <is>
          <t>All incident tickets for the period with timelines and notifications</t>
        </is>
      </c>
      <c r="D39" s="9" t="inlineStr">
        <is>
          <t>Incident register export (6 incidents)</t>
        </is>
      </c>
      <c r="E39" s="8" t="inlineStr">
        <is>
          <t>Owen Castillo</t>
        </is>
      </c>
      <c r="F39" s="10" t="n">
        <v>46183</v>
      </c>
      <c r="G39" s="10" t="n">
        <v>46192</v>
      </c>
      <c r="H39" s="10" t="n">
        <v>46199</v>
      </c>
      <c r="I39" s="8" t="inlineStr">
        <is>
          <t>Accepted</t>
        </is>
      </c>
      <c r="J39" s="8" t="inlineStr">
        <is>
          <t>2026-01-01 to 2026-06-30</t>
        </is>
      </c>
      <c r="K39" s="9" t="inlineStr">
        <is>
          <t>evidence/IR/EVID-038_incident-tickets-2026H1.csv</t>
        </is>
      </c>
      <c r="L39" s="8" t="inlineStr">
        <is>
          <t>Yes</t>
        </is>
      </c>
      <c r="M39" s="8" t="inlineStr">
        <is>
          <t>Lead assessor</t>
        </is>
      </c>
      <c r="N39" s="9" t="inlineStr">
        <is>
          <t>6 of 6 handled per plan; notification timely</t>
        </is>
      </c>
      <c r="O39" s="8" t="inlineStr">
        <is>
          <t>Operating Effectiveness</t>
        </is>
      </c>
      <c r="P39" s="8" t="inlineStr">
        <is>
          <t>Sufficient</t>
        </is>
      </c>
      <c r="Q39" s="9" t="inlineStr"/>
      <c r="R39" s="9" t="inlineStr">
        <is>
          <t>No</t>
        </is>
      </c>
      <c r="S39" s="8">
        <f>IF(H39="",MAX(0,README!$B$4-G39),MAX(0,H39-G39))</f>
        <v/>
      </c>
      <c r="T39" s="9" t="inlineStr"/>
    </row>
    <row r="40">
      <c r="A40" s="8" t="inlineStr">
        <is>
          <t>EVID-039</t>
        </is>
      </c>
      <c r="B40" s="8" t="inlineStr">
        <is>
          <t>MP-6</t>
        </is>
      </c>
      <c r="C40" s="9" t="inlineStr">
        <is>
          <t>Certificates of destruction for all devices retired in the period</t>
        </is>
      </c>
      <c r="D40" s="9" t="inlineStr">
        <is>
          <t>14 Coldwater certificates + MDM retired-device list</t>
        </is>
      </c>
      <c r="E40" s="8" t="inlineStr">
        <is>
          <t>Kevin Brandt</t>
        </is>
      </c>
      <c r="F40" s="10" t="n">
        <v>46183</v>
      </c>
      <c r="G40" s="10" t="n">
        <v>46192</v>
      </c>
      <c r="H40" s="10" t="n">
        <v>46195</v>
      </c>
      <c r="I40" s="8" t="inlineStr">
        <is>
          <t>Accepted</t>
        </is>
      </c>
      <c r="J40" s="8" t="inlineStr">
        <is>
          <t>2026-01-01 to 2026-06-30</t>
        </is>
      </c>
      <c r="K40" s="9" t="inlineStr">
        <is>
          <t>GRC-Vault:/WCP-2026/MP/EVID-039_itad-certificates.pdf</t>
        </is>
      </c>
      <c r="L40" s="8" t="inlineStr">
        <is>
          <t>No</t>
        </is>
      </c>
      <c r="M40" s="8" t="inlineStr">
        <is>
          <t>Lead assessor</t>
        </is>
      </c>
      <c r="N40" s="9" t="inlineStr">
        <is>
          <t>14 of 14 reconciled by serial</t>
        </is>
      </c>
      <c r="O40" s="8" t="inlineStr">
        <is>
          <t>Operating Effectiveness</t>
        </is>
      </c>
      <c r="P40" s="8" t="inlineStr">
        <is>
          <t>Sufficient</t>
        </is>
      </c>
      <c r="Q40" s="9" t="inlineStr"/>
      <c r="R40" s="9" t="inlineStr">
        <is>
          <t>No</t>
        </is>
      </c>
      <c r="S40" s="8">
        <f>IF(H40="",MAX(0,README!$B$4-G40),MAX(0,H40-G40))</f>
        <v/>
      </c>
      <c r="T40" s="9" t="inlineStr"/>
    </row>
    <row r="41">
      <c r="A41" s="8" t="inlineStr">
        <is>
          <t>EVID-040</t>
        </is>
      </c>
      <c r="B41" s="8" t="inlineStr">
        <is>
          <t>PE-3; MP-6; AC-18</t>
        </is>
      </c>
      <c r="C41" s="9" t="inlineStr">
        <is>
          <t>Inherited-control record and provider attestation review log; boundary definition</t>
        </is>
      </c>
      <c r="D41" s="9" t="inlineStr">
        <is>
          <t>Control inheritance record + 2026-03 attestation review note + boundary diagram</t>
        </is>
      </c>
      <c r="E41" s="8" t="inlineStr">
        <is>
          <t>Priya Raman</t>
        </is>
      </c>
      <c r="F41" s="10" t="n">
        <v>46183</v>
      </c>
      <c r="G41" s="10" t="n">
        <v>46192</v>
      </c>
      <c r="H41" s="10" t="n">
        <v>46188</v>
      </c>
      <c r="I41" s="8" t="inlineStr">
        <is>
          <t>Accepted</t>
        </is>
      </c>
      <c r="J41" s="8" t="inlineStr">
        <is>
          <t>Current</t>
        </is>
      </c>
      <c r="K41" s="9" t="inlineStr">
        <is>
          <t>docs/scope/system-profile.md</t>
        </is>
      </c>
      <c r="L41" s="8" t="inlineStr">
        <is>
          <t>Yes</t>
        </is>
      </c>
      <c r="M41" s="8" t="inlineStr">
        <is>
          <t>Lead assessor</t>
        </is>
      </c>
      <c r="N41" s="9" t="inlineStr">
        <is>
          <t>Inheritance documented and reviewed</t>
        </is>
      </c>
      <c r="O41" s="8" t="inlineStr">
        <is>
          <t>Design</t>
        </is>
      </c>
      <c r="P41" s="8" t="inlineStr">
        <is>
          <t>Sufficient</t>
        </is>
      </c>
      <c r="Q41" s="9" t="inlineStr"/>
      <c r="R41" s="9" t="inlineStr">
        <is>
          <t>No</t>
        </is>
      </c>
      <c r="S41" s="8">
        <f>IF(H41="",MAX(0,README!$B$4-G41),MAX(0,H41-G41))</f>
        <v/>
      </c>
      <c r="T41" s="9" t="inlineStr"/>
    </row>
    <row r="42">
      <c r="A42" s="8" t="inlineStr">
        <is>
          <t>EVID-041</t>
        </is>
      </c>
      <c r="B42" s="8" t="inlineStr">
        <is>
          <t>PL-2</t>
        </is>
      </c>
      <c r="C42" s="9" t="inlineStr">
        <is>
          <t>Current system security plan</t>
        </is>
      </c>
      <c r="D42" s="9" t="inlineStr">
        <is>
          <t>SSP v1.3 (2025-02)</t>
        </is>
      </c>
      <c r="E42" s="8" t="inlineStr">
        <is>
          <t>Priya Raman</t>
        </is>
      </c>
      <c r="F42" s="10" t="n">
        <v>46183</v>
      </c>
      <c r="G42" s="10" t="n">
        <v>46192</v>
      </c>
      <c r="H42" s="10" t="n">
        <v>46185</v>
      </c>
      <c r="I42" s="8" t="inlineStr">
        <is>
          <t>Accepted</t>
        </is>
      </c>
      <c r="J42" s="8" t="inlineStr">
        <is>
          <t>Current version</t>
        </is>
      </c>
      <c r="K42" s="9" t="inlineStr">
        <is>
          <t>GRC-Vault:/WCP-2026/PL/EVID-041_SSP_v1.3.pdf</t>
        </is>
      </c>
      <c r="L42" s="8" t="inlineStr">
        <is>
          <t>No</t>
        </is>
      </c>
      <c r="M42" s="8" t="inlineStr">
        <is>
          <t>Lead assessor</t>
        </is>
      </c>
      <c r="N42" s="9" t="inlineStr">
        <is>
          <t>Outdated: 3 architecture changes missing; 27 of 61 controls overstated vs testing</t>
        </is>
      </c>
      <c r="O42" s="8" t="inlineStr">
        <is>
          <t>Design</t>
        </is>
      </c>
      <c r="P42" s="8" t="inlineStr">
        <is>
          <t>Sufficient</t>
        </is>
      </c>
      <c r="Q42" s="9" t="inlineStr"/>
      <c r="R42" s="9" t="inlineStr">
        <is>
          <t>No</t>
        </is>
      </c>
      <c r="S42" s="8">
        <f>IF(H42="",MAX(0,README!$B$4-G42),MAX(0,H42-G42))</f>
        <v/>
      </c>
      <c r="T42" s="9" t="inlineStr"/>
    </row>
    <row r="43">
      <c r="A43" s="8" t="inlineStr">
        <is>
          <t>EVID-042</t>
        </is>
      </c>
      <c r="B43" s="8" t="inlineStr">
        <is>
          <t>PM-9</t>
        </is>
      </c>
      <c r="C43" s="9" t="inlineStr">
        <is>
          <t>Risk management strategy and Board-approved risk appetite</t>
        </is>
      </c>
      <c r="D43" s="9" t="inlineStr">
        <is>
          <t>RMS-001 + Risk Appetite Statement (Board minutes 2025-10-21)</t>
        </is>
      </c>
      <c r="E43" s="8" t="inlineStr">
        <is>
          <t>Alicia Moreno</t>
        </is>
      </c>
      <c r="F43" s="10" t="n">
        <v>46183</v>
      </c>
      <c r="G43" s="10" t="n">
        <v>46192</v>
      </c>
      <c r="H43" s="10" t="n">
        <v>46185</v>
      </c>
      <c r="I43" s="8" t="inlineStr">
        <is>
          <t>Accepted</t>
        </is>
      </c>
      <c r="J43" s="8" t="inlineStr">
        <is>
          <t>Current</t>
        </is>
      </c>
      <c r="K43" s="9" t="inlineStr">
        <is>
          <t>GRC-Vault:/WCP-2026/PM/EVID-042_RMS-001_and_appetite.pdf</t>
        </is>
      </c>
      <c r="L43" s="8" t="inlineStr">
        <is>
          <t>No</t>
        </is>
      </c>
      <c r="M43" s="8" t="inlineStr">
        <is>
          <t>Lead assessor</t>
        </is>
      </c>
      <c r="N43" s="9" t="inlineStr">
        <is>
          <t>Adequate; applied in RACC-001 and VR-001 escalation</t>
        </is>
      </c>
      <c r="O43" s="8" t="inlineStr">
        <is>
          <t>Design</t>
        </is>
      </c>
      <c r="P43" s="8" t="inlineStr">
        <is>
          <t>Sufficient</t>
        </is>
      </c>
      <c r="Q43" s="9" t="inlineStr"/>
      <c r="R43" s="9" t="inlineStr">
        <is>
          <t>No</t>
        </is>
      </c>
      <c r="S43" s="8">
        <f>IF(H43="",MAX(0,README!$B$4-G43),MAX(0,H43-G43))</f>
        <v/>
      </c>
      <c r="T43" s="9" t="inlineStr"/>
    </row>
    <row r="44">
      <c r="A44" s="8" t="inlineStr">
        <is>
          <t>EVID-043</t>
        </is>
      </c>
      <c r="B44" s="8" t="inlineStr">
        <is>
          <t>PS-3</t>
        </is>
      </c>
      <c r="C44" s="9" t="inlineStr">
        <is>
          <t>Background-check completion for 15 sampled H1 hires/contractors</t>
        </is>
      </c>
      <c r="D44" s="9" t="inlineStr">
        <is>
          <t>Screening vendor reports + Northgate attestations</t>
        </is>
      </c>
      <c r="E44" s="8" t="inlineStr">
        <is>
          <t>Denise Yamamoto</t>
        </is>
      </c>
      <c r="F44" s="10" t="n">
        <v>46183</v>
      </c>
      <c r="G44" s="10" t="n">
        <v>46192</v>
      </c>
      <c r="H44" s="10" t="n">
        <v>46195</v>
      </c>
      <c r="I44" s="8" t="inlineStr">
        <is>
          <t>Accepted</t>
        </is>
      </c>
      <c r="J44" s="8" t="inlineStr">
        <is>
          <t>2026-01-01 to 2026-06-30</t>
        </is>
      </c>
      <c r="K44" s="9" t="inlineStr">
        <is>
          <t>GRC-Vault:/WCP-2026/PS/EVID-043_screening-sample.pdf</t>
        </is>
      </c>
      <c r="L44" s="8" t="inlineStr">
        <is>
          <t>No</t>
        </is>
      </c>
      <c r="M44" s="8" t="inlineStr">
        <is>
          <t>Lead assessor</t>
        </is>
      </c>
      <c r="N44" s="9" t="inlineStr">
        <is>
          <t>15 of 15 screened before access</t>
        </is>
      </c>
      <c r="O44" s="8" t="inlineStr">
        <is>
          <t>Operating Effectiveness</t>
        </is>
      </c>
      <c r="P44" s="8" t="inlineStr">
        <is>
          <t>Sufficient</t>
        </is>
      </c>
      <c r="Q44" s="9" t="inlineStr"/>
      <c r="R44" s="9" t="inlineStr">
        <is>
          <t>No</t>
        </is>
      </c>
      <c r="S44" s="8">
        <f>IF(H44="",MAX(0,README!$B$4-G44),MAX(0,H44-G44))</f>
        <v/>
      </c>
      <c r="T44" s="9" t="inlineStr"/>
    </row>
    <row r="45">
      <c r="A45" s="8" t="inlineStr">
        <is>
          <t>EVID-044</t>
        </is>
      </c>
      <c r="B45" s="8" t="inlineStr">
        <is>
          <t>PS-5</t>
        </is>
      </c>
      <c r="C45" s="9" t="inlineStr">
        <is>
          <t>All transfers in period with before/after access</t>
        </is>
      </c>
      <c r="D45" s="9" t="inlineStr">
        <is>
          <t>PeopleHub transfer report (6) + access tickets</t>
        </is>
      </c>
      <c r="E45" s="8" t="inlineStr">
        <is>
          <t>Denise Yamamoto</t>
        </is>
      </c>
      <c r="F45" s="10" t="n">
        <v>46183</v>
      </c>
      <c r="G45" s="10" t="n">
        <v>46192</v>
      </c>
      <c r="H45" s="10" t="n">
        <v>46195</v>
      </c>
      <c r="I45" s="8" t="inlineStr">
        <is>
          <t>Accepted</t>
        </is>
      </c>
      <c r="J45" s="8" t="inlineStr">
        <is>
          <t>2026-01-01 to 2026-06-30</t>
        </is>
      </c>
      <c r="K45" s="9" t="inlineStr">
        <is>
          <t>GRC-Vault:/WCP-2026/PS/EVID-044_transfers.csv</t>
        </is>
      </c>
      <c r="L45" s="8" t="inlineStr">
        <is>
          <t>No</t>
        </is>
      </c>
      <c r="M45" s="8" t="inlineStr">
        <is>
          <t>Lead assessor</t>
        </is>
      </c>
      <c r="N45" s="9" t="inlineStr">
        <is>
          <t>1 of 6 retained prior-role PHI access</t>
        </is>
      </c>
      <c r="O45" s="8" t="inlineStr">
        <is>
          <t>Operating Effectiveness</t>
        </is>
      </c>
      <c r="P45" s="8" t="inlineStr">
        <is>
          <t>Sufficient</t>
        </is>
      </c>
      <c r="Q45" s="9" t="inlineStr"/>
      <c r="R45" s="9" t="inlineStr">
        <is>
          <t>No</t>
        </is>
      </c>
      <c r="S45" s="8">
        <f>IF(H45="",MAX(0,README!$B$4-G45),MAX(0,H45-G45))</f>
        <v/>
      </c>
      <c r="T45" s="9" t="inlineStr"/>
    </row>
    <row r="46">
      <c r="A46" s="8" t="inlineStr">
        <is>
          <t>EVID-045</t>
        </is>
      </c>
      <c r="B46" s="8" t="inlineStr">
        <is>
          <t>PS-7</t>
        </is>
      </c>
      <c r="C46" s="9" t="inlineStr">
        <is>
          <t>Contractor roster with SOW start/end dates and scope</t>
        </is>
      </c>
      <c r="D46" s="9" t="inlineStr">
        <is>
          <t>Northgate SOW register (5 contractors active in H1)</t>
        </is>
      </c>
      <c r="E46" s="8" t="inlineStr">
        <is>
          <t>Sofia Ricci</t>
        </is>
      </c>
      <c r="F46" s="10" t="n">
        <v>46183</v>
      </c>
      <c r="G46" s="10" t="n">
        <v>46192</v>
      </c>
      <c r="H46" s="10" t="n">
        <v>46195</v>
      </c>
      <c r="I46" s="8" t="inlineStr">
        <is>
          <t>Accepted</t>
        </is>
      </c>
      <c r="J46" s="8" t="inlineStr">
        <is>
          <t>2026-01-01 to 2026-06-30</t>
        </is>
      </c>
      <c r="K46" s="9" t="inlineStr">
        <is>
          <t>GRC-Vault:/WCP-2026/PS/EVID-045_contractor-sow-register.xlsx</t>
        </is>
      </c>
      <c r="L46" s="8" t="inlineStr">
        <is>
          <t>No</t>
        </is>
      </c>
      <c r="M46" s="8" t="inlineStr">
        <is>
          <t>Lead assessor</t>
        </is>
      </c>
      <c r="N46" s="9" t="inlineStr">
        <is>
          <t>End dates not enforced in Okta; scope not mapped to access</t>
        </is>
      </c>
      <c r="O46" s="8" t="inlineStr">
        <is>
          <t>Implementation</t>
        </is>
      </c>
      <c r="P46" s="8" t="inlineStr">
        <is>
          <t>Sufficient</t>
        </is>
      </c>
      <c r="Q46" s="9" t="inlineStr"/>
      <c r="R46" s="9" t="inlineStr">
        <is>
          <t>No</t>
        </is>
      </c>
      <c r="S46" s="8">
        <f>IF(H46="",MAX(0,README!$B$4-G46),MAX(0,H46-G46))</f>
        <v/>
      </c>
      <c r="T46" s="9" t="inlineStr"/>
    </row>
    <row r="47">
      <c r="A47" s="8" t="inlineStr">
        <is>
          <t>EVID-046</t>
        </is>
      </c>
      <c r="B47" s="8" t="inlineStr">
        <is>
          <t>RA-2</t>
        </is>
      </c>
      <c r="C47" s="9" t="inlineStr">
        <is>
          <t>FIPS 199 categorization worksheet with approval</t>
        </is>
      </c>
      <c r="D47" s="9" t="inlineStr">
        <is>
          <t>Categorization worksheet (2025-06)</t>
        </is>
      </c>
      <c r="E47" s="8" t="inlineStr">
        <is>
          <t>Samir Haddad</t>
        </is>
      </c>
      <c r="F47" s="10" t="n">
        <v>46183</v>
      </c>
      <c r="G47" s="10" t="n">
        <v>46192</v>
      </c>
      <c r="H47" s="10" t="n">
        <v>46185</v>
      </c>
      <c r="I47" s="8" t="inlineStr">
        <is>
          <t>Accepted</t>
        </is>
      </c>
      <c r="J47" s="8" t="inlineStr">
        <is>
          <t>Current</t>
        </is>
      </c>
      <c r="K47" s="9" t="inlineStr">
        <is>
          <t>docs/scope/system-profile.md</t>
        </is>
      </c>
      <c r="L47" s="8" t="inlineStr">
        <is>
          <t>Yes</t>
        </is>
      </c>
      <c r="M47" s="8" t="inlineStr">
        <is>
          <t>Lead assessor</t>
        </is>
      </c>
      <c r="N47" s="9" t="inlineStr">
        <is>
          <t>Moderate categorization confirmed</t>
        </is>
      </c>
      <c r="O47" s="8" t="inlineStr">
        <is>
          <t>Design</t>
        </is>
      </c>
      <c r="P47" s="8" t="inlineStr">
        <is>
          <t>Sufficient</t>
        </is>
      </c>
      <c r="Q47" s="9" t="inlineStr"/>
      <c r="R47" s="9" t="inlineStr">
        <is>
          <t>No</t>
        </is>
      </c>
      <c r="S47" s="8">
        <f>IF(H47="",MAX(0,README!$B$4-G47),MAX(0,H47-G47))</f>
        <v/>
      </c>
      <c r="T47" s="9" t="inlineStr"/>
    </row>
    <row r="48">
      <c r="A48" s="8" t="inlineStr">
        <is>
          <t>EVID-047</t>
        </is>
      </c>
      <c r="B48" s="8" t="inlineStr">
        <is>
          <t>RA-3</t>
        </is>
      </c>
      <c r="C48" s="9" t="inlineStr">
        <is>
          <t>Most recent risk assessment</t>
        </is>
      </c>
      <c r="D48" s="9" t="inlineStr">
        <is>
          <t>2025 HIPAA risk analysis report (2025-09)</t>
        </is>
      </c>
      <c r="E48" s="8" t="inlineStr">
        <is>
          <t>Priya Raman</t>
        </is>
      </c>
      <c r="F48" s="10" t="n">
        <v>46183</v>
      </c>
      <c r="G48" s="10" t="n">
        <v>46192</v>
      </c>
      <c r="H48" s="10" t="n">
        <v>46185</v>
      </c>
      <c r="I48" s="8" t="inlineStr">
        <is>
          <t>Accepted</t>
        </is>
      </c>
      <c r="J48" s="8" t="inlineStr">
        <is>
          <t>FY2025</t>
        </is>
      </c>
      <c r="K48" s="9" t="inlineStr">
        <is>
          <t>GRC-Vault:/WCP-2026/RA/EVID-047_risk-analysis-2025.pdf</t>
        </is>
      </c>
      <c r="L48" s="8" t="inlineStr">
        <is>
          <t>No</t>
        </is>
      </c>
      <c r="M48" s="8" t="inlineStr">
        <is>
          <t>Lead assessor</t>
        </is>
      </c>
      <c r="N48" s="9" t="inlineStr">
        <is>
          <t>Adequate method; missed vendor offshore and retention risks</t>
        </is>
      </c>
      <c r="O48" s="8" t="inlineStr">
        <is>
          <t>Design</t>
        </is>
      </c>
      <c r="P48" s="8" t="inlineStr">
        <is>
          <t>Sufficient</t>
        </is>
      </c>
      <c r="Q48" s="9" t="inlineStr"/>
      <c r="R48" s="9" t="inlineStr">
        <is>
          <t>No</t>
        </is>
      </c>
      <c r="S48" s="8">
        <f>IF(H48="",MAX(0,README!$B$4-G48),MAX(0,H48-G48))</f>
        <v/>
      </c>
      <c r="T48" s="9" t="inlineStr"/>
    </row>
    <row r="49">
      <c r="A49" s="8" t="inlineStr">
        <is>
          <t>EVID-048</t>
        </is>
      </c>
      <c r="B49" s="8" t="inlineStr">
        <is>
          <t>RA-5; SI-2; SA-22</t>
        </is>
      </c>
      <c r="C49" s="9" t="inlineStr">
        <is>
          <t>All Critical/High vulnerability findings open at any point in H1, with detection and remediation dates</t>
        </is>
      </c>
      <c r="D49" s="9" t="inlineStr">
        <is>
          <t>Scanner export (61 findings)</t>
        </is>
      </c>
      <c r="E49" s="8" t="inlineStr">
        <is>
          <t>Owen Castillo</t>
        </is>
      </c>
      <c r="F49" s="10" t="n">
        <v>46183</v>
      </c>
      <c r="G49" s="10" t="n">
        <v>46192</v>
      </c>
      <c r="H49" s="10" t="n">
        <v>46202</v>
      </c>
      <c r="I49" s="8" t="inlineStr">
        <is>
          <t>Accepted</t>
        </is>
      </c>
      <c r="J49" s="8" t="inlineStr">
        <is>
          <t>2026-01-01 to 2026-06-30</t>
        </is>
      </c>
      <c r="K49" s="9" t="inlineStr">
        <is>
          <t>evidence/RA/EVID-048_vuln-remediation-aging-2026H1.csv</t>
        </is>
      </c>
      <c r="L49" s="8" t="inlineStr">
        <is>
          <t>Yes</t>
        </is>
      </c>
      <c r="M49" s="8" t="inlineStr">
        <is>
          <t>Lead assessor</t>
        </is>
      </c>
      <c r="N49" s="9" t="inlineStr">
        <is>
          <t>14 of 61 beyond SLA; 6 open past SLA</t>
        </is>
      </c>
      <c r="O49" s="8" t="inlineStr">
        <is>
          <t>Operating Effectiveness</t>
        </is>
      </c>
      <c r="P49" s="8" t="inlineStr">
        <is>
          <t>Sufficient</t>
        </is>
      </c>
      <c r="Q49" s="9" t="inlineStr"/>
      <c r="R49" s="9" t="inlineStr">
        <is>
          <t>No</t>
        </is>
      </c>
      <c r="S49" s="8">
        <f>IF(H49="",MAX(0,README!$B$4-G49),MAX(0,H49-G49))</f>
        <v/>
      </c>
      <c r="T49" s="9" t="inlineStr"/>
    </row>
    <row r="50">
      <c r="A50" s="8" t="inlineStr">
        <is>
          <t>EVID-049</t>
        </is>
      </c>
      <c r="B50" s="8" t="inlineStr">
        <is>
          <t>SA-9; SR-6</t>
        </is>
      </c>
      <c r="C50" s="9" t="inlineStr">
        <is>
          <t>Vendor inventory with tiers and assessment dates</t>
        </is>
      </c>
      <c r="D50" s="9" t="inlineStr">
        <is>
          <t>Vendor register (16 vendors)</t>
        </is>
      </c>
      <c r="E50" s="8" t="inlineStr">
        <is>
          <t>Beth Kowalski</t>
        </is>
      </c>
      <c r="F50" s="10" t="n">
        <v>46183</v>
      </c>
      <c r="G50" s="10" t="n">
        <v>46192</v>
      </c>
      <c r="H50" s="10" t="n">
        <v>46192</v>
      </c>
      <c r="I50" s="8" t="inlineStr">
        <is>
          <t>Accepted</t>
        </is>
      </c>
      <c r="J50" s="8" t="inlineStr">
        <is>
          <t>As of 2026-06-30</t>
        </is>
      </c>
      <c r="K50" s="9" t="inlineStr">
        <is>
          <t>vendor-risk/vendor-assessment.xlsx</t>
        </is>
      </c>
      <c r="L50" s="8" t="inlineStr">
        <is>
          <t>Yes</t>
        </is>
      </c>
      <c r="M50" s="8" t="inlineStr">
        <is>
          <t>Lead assessor</t>
        </is>
      </c>
      <c r="N50" s="9" t="inlineStr">
        <is>
          <t>5 of 14 Tier 1–2 vendors overdue or never assessed</t>
        </is>
      </c>
      <c r="O50" s="8" t="inlineStr">
        <is>
          <t>Implementation</t>
        </is>
      </c>
      <c r="P50" s="8" t="inlineStr">
        <is>
          <t>Sufficient</t>
        </is>
      </c>
      <c r="Q50" s="9" t="inlineStr"/>
      <c r="R50" s="9" t="inlineStr">
        <is>
          <t>No</t>
        </is>
      </c>
      <c r="S50" s="8">
        <f>IF(H50="",MAX(0,README!$B$4-G50),MAX(0,H50-G50))</f>
        <v/>
      </c>
      <c r="T50" s="9" t="inlineStr"/>
    </row>
    <row r="51">
      <c r="A51" s="8" t="inlineStr">
        <is>
          <t>EVID-050</t>
        </is>
      </c>
      <c r="B51" s="8" t="inlineStr">
        <is>
          <t>SR-6; SA-9</t>
        </is>
      </c>
      <c r="C51" s="9" t="inlineStr">
        <is>
          <t>Quarrystone SOC 2 Type II report and bridge letter</t>
        </is>
      </c>
      <c r="D51" s="9" t="inlineStr">
        <is>
          <t>Quarrystone SOC 2 Type II (2024-10-01 to 2025-09-30) + bridge letter to 2026-03-31</t>
        </is>
      </c>
      <c r="E51" s="8" t="inlineStr">
        <is>
          <t>Beth Kowalski</t>
        </is>
      </c>
      <c r="F51" s="10" t="n">
        <v>46183</v>
      </c>
      <c r="G51" s="10" t="n">
        <v>46192</v>
      </c>
      <c r="H51" s="10" t="n">
        <v>46203</v>
      </c>
      <c r="I51" s="8" t="inlineStr">
        <is>
          <t>Accepted</t>
        </is>
      </c>
      <c r="J51" s="8" t="inlineStr">
        <is>
          <t>2024-10-01 to 2026-03-31</t>
        </is>
      </c>
      <c r="K51" s="9" t="inlineStr">
        <is>
          <t>evidence/SR/EVID-050_quarrystone-soc2-review-workpaper.md</t>
        </is>
      </c>
      <c r="L51" s="8" t="inlineStr">
        <is>
          <t>Yes</t>
        </is>
      </c>
      <c r="M51" s="8" t="inlineStr">
        <is>
          <t>Lead assessor</t>
        </is>
      </c>
      <c r="N51" s="9" t="inlineStr">
        <is>
          <t>Unqualified; 2 exceptions; subservice carve-outs; CUEC not performed by Wrenfield</t>
        </is>
      </c>
      <c r="O51" s="8" t="inlineStr">
        <is>
          <t>Operating Effectiveness</t>
        </is>
      </c>
      <c r="P51" s="8" t="inlineStr">
        <is>
          <t>Sufficient</t>
        </is>
      </c>
      <c r="Q51" s="9" t="inlineStr"/>
      <c r="R51" s="9" t="inlineStr">
        <is>
          <t>No</t>
        </is>
      </c>
      <c r="S51" s="8">
        <f>IF(H51="",MAX(0,README!$B$4-G51),MAX(0,H51-G51))</f>
        <v/>
      </c>
      <c r="T51" s="9" t="inlineStr"/>
    </row>
    <row r="52">
      <c r="A52" s="8" t="inlineStr">
        <is>
          <t>EVID-051</t>
        </is>
      </c>
      <c r="B52" s="8" t="inlineStr">
        <is>
          <t>SR-6</t>
        </is>
      </c>
      <c r="C52" s="9" t="inlineStr">
        <is>
          <t>Quarrystone most recent penetration test report and retest evidence</t>
        </is>
      </c>
      <c r="D52" s="9" t="inlineStr">
        <is>
          <t>Summary letter only (2025-03 test); full report and retest requested</t>
        </is>
      </c>
      <c r="E52" s="8" t="inlineStr">
        <is>
          <t>Beth Kowalski (vendor-sourced)</t>
        </is>
      </c>
      <c r="F52" s="10" t="n">
        <v>46211</v>
      </c>
      <c r="G52" s="10" t="n">
        <v>46241</v>
      </c>
      <c r="H52" s="10" t="n"/>
      <c r="I52" s="8" t="inlineStr">
        <is>
          <t>Requested</t>
        </is>
      </c>
      <c r="J52" s="8" t="inlineStr">
        <is>
          <t>2025-03</t>
        </is>
      </c>
      <c r="K52" s="9" t="inlineStr">
        <is>
          <t>GRC-Vault:/WCP-2026/SR/EVID-051_pending</t>
        </is>
      </c>
      <c r="L52" s="8" t="inlineStr">
        <is>
          <t>No</t>
        </is>
      </c>
      <c r="M52" s="8" t="inlineStr">
        <is>
          <t>Lead assessor</t>
        </is>
      </c>
      <c r="N52" s="9" t="inlineStr">
        <is>
          <t>Outstanding (vendor citing confidentiality; NDA review in progress)</t>
        </is>
      </c>
      <c r="O52" s="8" t="inlineStr">
        <is>
          <t>Design</t>
        </is>
      </c>
      <c r="P52" s="8" t="inlineStr">
        <is>
          <t>Pending</t>
        </is>
      </c>
      <c r="Q52" s="9" t="inlineStr">
        <is>
          <t>Vendor has not produced the report</t>
        </is>
      </c>
      <c r="R52" s="9" t="inlineStr">
        <is>
          <t>Yes: escalated through VP Clinical Analytics; condition in POAM-016</t>
        </is>
      </c>
      <c r="S52" s="8">
        <f>IF(H52="",MAX(0,README!$B$4-G52),MAX(0,H52-G52))</f>
        <v/>
      </c>
      <c r="T52" s="9" t="inlineStr"/>
    </row>
    <row r="53">
      <c r="A53" s="8" t="inlineStr">
        <is>
          <t>EVID-052</t>
        </is>
      </c>
      <c r="B53" s="8" t="inlineStr">
        <is>
          <t>SA-22</t>
        </is>
      </c>
      <c r="C53" s="9" t="inlineStr">
        <is>
          <t>OS/database/runtime inventory with vendor support dates</t>
        </is>
      </c>
      <c r="D53" s="9" t="inlineStr">
        <is>
          <t>Software lifecycle report</t>
        </is>
      </c>
      <c r="E53" s="8" t="inlineStr">
        <is>
          <t>Tomasz Wierzbicki</t>
        </is>
      </c>
      <c r="F53" s="10" t="n">
        <v>46183</v>
      </c>
      <c r="G53" s="10" t="n">
        <v>46192</v>
      </c>
      <c r="H53" s="10" t="n">
        <v>46199</v>
      </c>
      <c r="I53" s="8" t="inlineStr">
        <is>
          <t>Accepted</t>
        </is>
      </c>
      <c r="J53" s="8" t="inlineStr">
        <is>
          <t>As of 2026-06-30</t>
        </is>
      </c>
      <c r="K53" s="9" t="inlineStr">
        <is>
          <t>GRC-Vault:/WCP-2026/SA/EVID-052_eol-inventory.csv</t>
        </is>
      </c>
      <c r="L53" s="8" t="inlineStr">
        <is>
          <t>No</t>
        </is>
      </c>
      <c r="M53" s="8" t="inlineStr">
        <is>
          <t>Lead assessor</t>
        </is>
      </c>
      <c r="N53" s="9" t="inlineStr">
        <is>
          <t>3 unsupported components identified</t>
        </is>
      </c>
      <c r="O53" s="8" t="inlineStr">
        <is>
          <t>Implementation</t>
        </is>
      </c>
      <c r="P53" s="8" t="inlineStr">
        <is>
          <t>Sufficient</t>
        </is>
      </c>
      <c r="Q53" s="9" t="inlineStr"/>
      <c r="R53" s="9" t="inlineStr">
        <is>
          <t>No</t>
        </is>
      </c>
      <c r="S53" s="8">
        <f>IF(H53="",MAX(0,README!$B$4-G53),MAX(0,H53-G53))</f>
        <v/>
      </c>
      <c r="T53" s="9" t="inlineStr"/>
    </row>
    <row r="54">
      <c r="A54" s="8" t="inlineStr">
        <is>
          <t>EVID-053</t>
        </is>
      </c>
      <c r="B54" s="8" t="inlineStr">
        <is>
          <t>SC-7; CM-6</t>
        </is>
      </c>
      <c r="C54" s="9" t="inlineStr">
        <is>
          <t>Security group rules for wf-sftp-01 and all groups with 0.0.0.0/0 ingress</t>
        </is>
      </c>
      <c r="D54" s="9" t="inlineStr">
        <is>
          <t>EC2 DescribeSecurityGroups export</t>
        </is>
      </c>
      <c r="E54" s="8" t="inlineStr">
        <is>
          <t>Tomasz Wierzbicki</t>
        </is>
      </c>
      <c r="F54" s="10" t="n">
        <v>46183</v>
      </c>
      <c r="G54" s="10" t="n">
        <v>46192</v>
      </c>
      <c r="H54" s="10" t="n">
        <v>46205</v>
      </c>
      <c r="I54" s="8" t="inlineStr">
        <is>
          <t>Accepted</t>
        </is>
      </c>
      <c r="J54" s="8" t="inlineStr">
        <is>
          <t>As of 2026-07-02</t>
        </is>
      </c>
      <c r="K54" s="9" t="inlineStr">
        <is>
          <t>evidence/CM/EVID-053_wf-sftp-01-security-group_2026-07-02.json</t>
        </is>
      </c>
      <c r="L54" s="8" t="inlineStr">
        <is>
          <t>Yes</t>
        </is>
      </c>
      <c r="M54" s="8" t="inlineStr">
        <is>
          <t>Lead assessor</t>
        </is>
      </c>
      <c r="N54" s="9" t="inlineStr">
        <is>
          <t>RDP 3389 open to 0.0.0.0/0</t>
        </is>
      </c>
      <c r="O54" s="8" t="inlineStr">
        <is>
          <t>Implementation</t>
        </is>
      </c>
      <c r="P54" s="8" t="inlineStr">
        <is>
          <t>Sufficient</t>
        </is>
      </c>
      <c r="Q54" s="9" t="inlineStr"/>
      <c r="R54" s="9" t="inlineStr">
        <is>
          <t>No</t>
        </is>
      </c>
      <c r="S54" s="8">
        <f>IF(H54="",MAX(0,README!$B$4-G54),MAX(0,H54-G54))</f>
        <v/>
      </c>
      <c r="T54" s="9" t="inlineStr"/>
    </row>
    <row r="55">
      <c r="A55" s="8" t="inlineStr">
        <is>
          <t>EVID-054</t>
        </is>
      </c>
      <c r="B55" s="8" t="inlineStr">
        <is>
          <t>SC-8</t>
        </is>
      </c>
      <c r="C55" s="9" t="inlineStr">
        <is>
          <t>TLS policies and database SSL enforcement; external TLS scan</t>
        </is>
      </c>
      <c r="D55" s="9" t="inlineStr">
        <is>
          <t>ALB/CloudFront policies + RDS parameter group + TLS scan</t>
        </is>
      </c>
      <c r="E55" s="8" t="inlineStr">
        <is>
          <t>Tomasz Wierzbicki</t>
        </is>
      </c>
      <c r="F55" s="10" t="n">
        <v>46183</v>
      </c>
      <c r="G55" s="10" t="n">
        <v>46192</v>
      </c>
      <c r="H55" s="10" t="n">
        <v>46197</v>
      </c>
      <c r="I55" s="8" t="inlineStr">
        <is>
          <t>Accepted</t>
        </is>
      </c>
      <c r="J55" s="8" t="inlineStr">
        <is>
          <t>As of 2026-06-30</t>
        </is>
      </c>
      <c r="K55" s="9" t="inlineStr">
        <is>
          <t>GRC-Vault:/WCP-2026/SC/EVID-054_tls.zip</t>
        </is>
      </c>
      <c r="L55" s="8" t="inlineStr">
        <is>
          <t>No</t>
        </is>
      </c>
      <c r="M55" s="8" t="inlineStr">
        <is>
          <t>Lead assessor</t>
        </is>
      </c>
      <c r="N55" s="9" t="inlineStr">
        <is>
          <t>TLS 1.2+ only; force_ssl on</t>
        </is>
      </c>
      <c r="O55" s="8" t="inlineStr">
        <is>
          <t>Implementation</t>
        </is>
      </c>
      <c r="P55" s="8" t="inlineStr">
        <is>
          <t>Sufficient</t>
        </is>
      </c>
      <c r="Q55" s="9" t="inlineStr"/>
      <c r="R55" s="9" t="inlineStr">
        <is>
          <t>No</t>
        </is>
      </c>
      <c r="S55" s="8">
        <f>IF(H55="",MAX(0,README!$B$4-G55),MAX(0,H55-G55))</f>
        <v/>
      </c>
      <c r="T55" s="9" t="inlineStr"/>
    </row>
    <row r="56">
      <c r="A56" s="8" t="inlineStr">
        <is>
          <t>EVID-055</t>
        </is>
      </c>
      <c r="B56" s="8" t="inlineStr">
        <is>
          <t>SC-12</t>
        </is>
      </c>
      <c r="C56" s="9" t="inlineStr">
        <is>
          <t>KMS key inventory, rotation, key policies</t>
        </is>
      </c>
      <c r="D56" s="9" t="inlineStr">
        <is>
          <t>KMS ListKeys/GetKeyRotationStatus + policies</t>
        </is>
      </c>
      <c r="E56" s="8" t="inlineStr">
        <is>
          <t>Tomasz Wierzbicki</t>
        </is>
      </c>
      <c r="F56" s="10" t="n">
        <v>46183</v>
      </c>
      <c r="G56" s="10" t="n">
        <v>46192</v>
      </c>
      <c r="H56" s="10" t="n">
        <v>46197</v>
      </c>
      <c r="I56" s="8" t="inlineStr">
        <is>
          <t>Accepted</t>
        </is>
      </c>
      <c r="J56" s="8" t="inlineStr">
        <is>
          <t>As of 2026-06-30</t>
        </is>
      </c>
      <c r="K56" s="9" t="inlineStr">
        <is>
          <t>GRC-Vault:/WCP-2026/SC/EVID-055_kms.json</t>
        </is>
      </c>
      <c r="L56" s="8" t="inlineStr">
        <is>
          <t>No</t>
        </is>
      </c>
      <c r="M56" s="8" t="inlineStr">
        <is>
          <t>Lead assessor</t>
        </is>
      </c>
      <c r="N56" s="9" t="inlineStr">
        <is>
          <t>9 of 9 rotation enabled</t>
        </is>
      </c>
      <c r="O56" s="8" t="inlineStr">
        <is>
          <t>Implementation</t>
        </is>
      </c>
      <c r="P56" s="8" t="inlineStr">
        <is>
          <t>Sufficient</t>
        </is>
      </c>
      <c r="Q56" s="9" t="inlineStr"/>
      <c r="R56" s="9" t="inlineStr">
        <is>
          <t>No</t>
        </is>
      </c>
      <c r="S56" s="8">
        <f>IF(H56="",MAX(0,README!$B$4-G56),MAX(0,H56-G56))</f>
        <v/>
      </c>
      <c r="T56" s="9" t="inlineStr"/>
    </row>
    <row r="57">
      <c r="A57" s="8" t="inlineStr">
        <is>
          <t>EVID-056</t>
        </is>
      </c>
      <c r="B57" s="8" t="inlineStr">
        <is>
          <t>SC-28</t>
        </is>
      </c>
      <c r="C57" s="9" t="inlineStr">
        <is>
          <t>Encryption status for all data stores; endpoint encryption compliance</t>
        </is>
      </c>
      <c r="D57" s="9" t="inlineStr">
        <is>
          <t>Config rule results + MDM encryption report</t>
        </is>
      </c>
      <c r="E57" s="8" t="inlineStr">
        <is>
          <t>Tomasz Wierzbicki</t>
        </is>
      </c>
      <c r="F57" s="10" t="n">
        <v>46183</v>
      </c>
      <c r="G57" s="10" t="n">
        <v>46192</v>
      </c>
      <c r="H57" s="10" t="n">
        <v>46197</v>
      </c>
      <c r="I57" s="8" t="inlineStr">
        <is>
          <t>Accepted</t>
        </is>
      </c>
      <c r="J57" s="8" t="inlineStr">
        <is>
          <t>As of 2026-06-30</t>
        </is>
      </c>
      <c r="K57" s="9" t="inlineStr">
        <is>
          <t>GRC-Vault:/WCP-2026/SC/EVID-056_encryption.zip</t>
        </is>
      </c>
      <c r="L57" s="8" t="inlineStr">
        <is>
          <t>No</t>
        </is>
      </c>
      <c r="M57" s="8" t="inlineStr">
        <is>
          <t>Lead assessor</t>
        </is>
      </c>
      <c r="N57" s="9" t="inlineStr">
        <is>
          <t>100% encrypted</t>
        </is>
      </c>
      <c r="O57" s="8" t="inlineStr">
        <is>
          <t>Implementation</t>
        </is>
      </c>
      <c r="P57" s="8" t="inlineStr">
        <is>
          <t>Sufficient</t>
        </is>
      </c>
      <c r="Q57" s="9" t="inlineStr"/>
      <c r="R57" s="9" t="inlineStr">
        <is>
          <t>No</t>
        </is>
      </c>
      <c r="S57" s="8">
        <f>IF(H57="",MAX(0,README!$B$4-G57),MAX(0,H57-G57))</f>
        <v/>
      </c>
      <c r="T57" s="9" t="inlineStr"/>
    </row>
    <row r="58">
      <c r="A58" s="8" t="inlineStr">
        <is>
          <t>EVID-057</t>
        </is>
      </c>
      <c r="B58" s="8" t="inlineStr">
        <is>
          <t>SI-3</t>
        </is>
      </c>
      <c r="C58" s="9" t="inlineStr">
        <is>
          <t>EDR coverage reconciled to inventory</t>
        </is>
      </c>
      <c r="D58" s="9" t="inlineStr">
        <is>
          <t>EDR sensor export + reconciliation</t>
        </is>
      </c>
      <c r="E58" s="8" t="inlineStr">
        <is>
          <t>Owen Castillo</t>
        </is>
      </c>
      <c r="F58" s="10" t="n">
        <v>46183</v>
      </c>
      <c r="G58" s="10" t="n">
        <v>46192</v>
      </c>
      <c r="H58" s="10" t="n">
        <v>46197</v>
      </c>
      <c r="I58" s="8" t="inlineStr">
        <is>
          <t>Accepted</t>
        </is>
      </c>
      <c r="J58" s="8" t="inlineStr">
        <is>
          <t>As of 2026-06-30</t>
        </is>
      </c>
      <c r="K58" s="9" t="inlineStr">
        <is>
          <t>GRC-Vault:/WCP-2026/SI/EVID-057_edr-coverage.csv</t>
        </is>
      </c>
      <c r="L58" s="8" t="inlineStr">
        <is>
          <t>No</t>
        </is>
      </c>
      <c r="M58" s="8" t="inlineStr">
        <is>
          <t>Lead assessor</t>
        </is>
      </c>
      <c r="N58" s="9" t="inlineStr">
        <is>
          <t>358 of 362 endpoints (4 in provisioning); 100% servers</t>
        </is>
      </c>
      <c r="O58" s="8" t="inlineStr">
        <is>
          <t>Implementation</t>
        </is>
      </c>
      <c r="P58" s="8" t="inlineStr">
        <is>
          <t>Sufficient</t>
        </is>
      </c>
      <c r="Q58" s="9" t="inlineStr"/>
      <c r="R58" s="9" t="inlineStr">
        <is>
          <t>No</t>
        </is>
      </c>
      <c r="S58" s="8">
        <f>IF(H58="",MAX(0,README!$B$4-G58),MAX(0,H58-G58))</f>
        <v/>
      </c>
      <c r="T58" s="9" t="inlineStr"/>
    </row>
    <row r="59">
      <c r="A59" s="8" t="inlineStr">
        <is>
          <t>EVID-058</t>
        </is>
      </c>
      <c r="B59" s="8" t="inlineStr">
        <is>
          <t>SI-4; CA-7</t>
        </is>
      </c>
      <c r="C59" s="9" t="inlineStr">
        <is>
          <t>Detection inventory and MDR triage metrics; 10 sample alerts</t>
        </is>
      </c>
      <c r="D59" s="9" t="inlineStr">
        <is>
          <t>Rule inventory (41) + MDR monthly reports + alert samples</t>
        </is>
      </c>
      <c r="E59" s="8" t="inlineStr">
        <is>
          <t>Owen Castillo</t>
        </is>
      </c>
      <c r="F59" s="10" t="n">
        <v>46183</v>
      </c>
      <c r="G59" s="10" t="n">
        <v>46192</v>
      </c>
      <c r="H59" s="10" t="n">
        <v>46199</v>
      </c>
      <c r="I59" s="8" t="inlineStr">
        <is>
          <t>Accepted</t>
        </is>
      </c>
      <c r="J59" s="8" t="inlineStr">
        <is>
          <t>2026-01-01 to 2026-06-30</t>
        </is>
      </c>
      <c r="K59" s="9" t="inlineStr">
        <is>
          <t>GRC-Vault:/WCP-2026/SI/EVID-058_monitoring.zip</t>
        </is>
      </c>
      <c r="L59" s="8" t="inlineStr">
        <is>
          <t>No</t>
        </is>
      </c>
      <c r="M59" s="8" t="inlineStr">
        <is>
          <t>Lead assessor</t>
        </is>
      </c>
      <c r="N59" s="9" t="inlineStr">
        <is>
          <t>97% High alerts triaged within 30 min</t>
        </is>
      </c>
      <c r="O59" s="8" t="inlineStr">
        <is>
          <t>Operating Effectiveness</t>
        </is>
      </c>
      <c r="P59" s="8" t="inlineStr">
        <is>
          <t>Sufficient</t>
        </is>
      </c>
      <c r="Q59" s="9" t="inlineStr"/>
      <c r="R59" s="9" t="inlineStr">
        <is>
          <t>No</t>
        </is>
      </c>
      <c r="S59" s="8">
        <f>IF(H59="",MAX(0,README!$B$4-G59),MAX(0,H59-G59))</f>
        <v/>
      </c>
      <c r="T59" s="9" t="inlineStr"/>
    </row>
    <row r="60">
      <c r="A60" s="8" t="inlineStr">
        <is>
          <t>EVID-059</t>
        </is>
      </c>
      <c r="B60" s="8" t="inlineStr">
        <is>
          <t>SR-2</t>
        </is>
      </c>
      <c r="C60" s="9" t="inlineStr">
        <is>
          <t>Approved C-SCRM plan</t>
        </is>
      </c>
      <c r="D60" s="9" t="inlineStr">
        <is>
          <t>Draft outline (2 pages)</t>
        </is>
      </c>
      <c r="E60" s="8" t="inlineStr">
        <is>
          <t>Beth Kowalski</t>
        </is>
      </c>
      <c r="F60" s="10" t="n">
        <v>46183</v>
      </c>
      <c r="G60" s="10" t="n">
        <v>46192</v>
      </c>
      <c r="H60" s="10" t="n">
        <v>46192</v>
      </c>
      <c r="I60" s="8" t="inlineStr">
        <is>
          <t>Insufficient</t>
        </is>
      </c>
      <c r="J60" s="8" t="inlineStr">
        <is>
          <t>Current</t>
        </is>
      </c>
      <c r="K60" s="9" t="inlineStr">
        <is>
          <t>GRC-Vault:/WCP-2026/SR/EVID-059_cscrm-outline.docx</t>
        </is>
      </c>
      <c r="L60" s="8" t="inlineStr">
        <is>
          <t>No</t>
        </is>
      </c>
      <c r="M60" s="8" t="inlineStr">
        <is>
          <t>Lead assessor</t>
        </is>
      </c>
      <c r="N60" s="9" t="inlineStr">
        <is>
          <t>Outline only; not approved</t>
        </is>
      </c>
      <c r="O60" s="8" t="inlineStr">
        <is>
          <t>Design</t>
        </is>
      </c>
      <c r="P60" s="8" t="inlineStr">
        <is>
          <t>Insufficient</t>
        </is>
      </c>
      <c r="Q60" s="9" t="inlineStr">
        <is>
          <t>No C-SCRM plan</t>
        </is>
      </c>
      <c r="R60" s="9" t="inlineStr">
        <is>
          <t>Yes: POAM-015</t>
        </is>
      </c>
      <c r="S60" s="8">
        <f>IF(H60="",MAX(0,README!$B$4-G60),MAX(0,H60-G60))</f>
        <v/>
      </c>
      <c r="T60" s="9" t="inlineStr"/>
    </row>
    <row r="61">
      <c r="A61" s="8" t="inlineStr">
        <is>
          <t>EVID-060</t>
        </is>
      </c>
      <c r="B61" s="8" t="inlineStr">
        <is>
          <t>RA-7; AC-5; PM-9</t>
        </is>
      </c>
      <c r="C61" s="9" t="inlineStr">
        <is>
          <t>Signed risk acceptance for SoD conflict</t>
        </is>
      </c>
      <c r="D61" s="9" t="inlineStr">
        <is>
          <t>RACC-001 (signed CFO + CISO 2026-08-12)</t>
        </is>
      </c>
      <c r="E61" s="8" t="inlineStr">
        <is>
          <t>Laura Brenneman</t>
        </is>
      </c>
      <c r="F61" s="10" t="n">
        <v>46241</v>
      </c>
      <c r="G61" s="10" t="n">
        <v>46248</v>
      </c>
      <c r="H61" s="10" t="n">
        <v>46246</v>
      </c>
      <c r="I61" s="8" t="inlineStr">
        <is>
          <t>Accepted</t>
        </is>
      </c>
      <c r="J61" s="8" t="inlineStr">
        <is>
          <t>2026-08-12 to 2027-03-31</t>
        </is>
      </c>
      <c r="K61" s="9" t="inlineStr">
        <is>
          <t>risk/risk-acceptance/RACC-001.md</t>
        </is>
      </c>
      <c r="L61" s="8" t="inlineStr">
        <is>
          <t>Yes</t>
        </is>
      </c>
      <c r="M61" s="8" t="inlineStr">
        <is>
          <t>Lead assessor</t>
        </is>
      </c>
      <c r="N61" s="9" t="inlineStr">
        <is>
          <t>Signed at correct authority level with compensating control</t>
        </is>
      </c>
      <c r="O61" s="8" t="inlineStr">
        <is>
          <t>Design</t>
        </is>
      </c>
      <c r="P61" s="8" t="inlineStr">
        <is>
          <t>Sufficient</t>
        </is>
      </c>
      <c r="Q61" s="9" t="inlineStr"/>
      <c r="R61" s="9" t="inlineStr">
        <is>
          <t>No</t>
        </is>
      </c>
      <c r="S61" s="8">
        <f>IF(H61="",MAX(0,README!$B$4-G61),MAX(0,H61-G61))</f>
        <v/>
      </c>
      <c r="T61" s="9" t="inlineStr"/>
    </row>
    <row r="62">
      <c r="A62" s="8" t="inlineStr">
        <is>
          <t>EVID-061</t>
        </is>
      </c>
      <c r="B62" s="8" t="inlineStr">
        <is>
          <t>AC-2; AC-2(3); PS-4; PS-5</t>
        </is>
      </c>
      <c r="C62" s="9" t="inlineStr">
        <is>
          <t>Revocation tickets for AR-EX-01/02/04/12/13/14 and all terminations 2026-07-01 to 2026-09-09 with de-provisioning timestamps</t>
        </is>
      </c>
      <c r="D62" s="9" t="inlineStr">
        <is>
          <t>Jira IT tickets + Okta/portal deactivation records</t>
        </is>
      </c>
      <c r="E62" s="8" t="inlineStr">
        <is>
          <t>Nadia Rahman</t>
        </is>
      </c>
      <c r="F62" s="10" t="n">
        <v>46249</v>
      </c>
      <c r="G62" s="10" t="n">
        <v>46275</v>
      </c>
      <c r="H62" s="10" t="n">
        <v>46275</v>
      </c>
      <c r="I62" s="8" t="inlineStr">
        <is>
          <t>Closed</t>
        </is>
      </c>
      <c r="J62" s="8" t="inlineStr">
        <is>
          <t>2026-07-01 to 2026-09-09</t>
        </is>
      </c>
      <c r="K62" s="9" t="inlineStr">
        <is>
          <t>evidence/AC/EVID-061_terminations-and-deactivations_2026-07-01_to_09-09.csv</t>
        </is>
      </c>
      <c r="L62" s="8" t="inlineStr">
        <is>
          <t>Yes</t>
        </is>
      </c>
      <c r="M62" s="8" t="inlineStr">
        <is>
          <t>Lead assessor</t>
        </is>
      </c>
      <c r="N62" s="9" t="inlineStr">
        <is>
          <t>7 of 7 terminations within 24h; all revocations verified in post-change exports</t>
        </is>
      </c>
      <c r="O62" s="8" t="inlineStr">
        <is>
          <t>Operating Effectiveness</t>
        </is>
      </c>
      <c r="P62" s="8" t="inlineStr">
        <is>
          <t>Sufficient</t>
        </is>
      </c>
      <c r="Q62" s="9" t="inlineStr"/>
      <c r="R62" s="9" t="inlineStr">
        <is>
          <t>No</t>
        </is>
      </c>
      <c r="S62" s="8">
        <f>IF(H62="",MAX(0,README!$B$4-G62),MAX(0,H62-G62))</f>
        <v/>
      </c>
      <c r="T62" s="9" t="inlineStr"/>
    </row>
    <row r="63">
      <c r="A63" s="8" t="inlineStr">
        <is>
          <t>EVID-062</t>
        </is>
      </c>
      <c r="B63" s="8" t="inlineStr">
        <is>
          <t>AC-2(1); AC-2(3)</t>
        </is>
      </c>
      <c r="C63" s="9" t="inlineStr">
        <is>
          <t>HR-to-Okta reconciliation job design and last 5 run outputs</t>
        </is>
      </c>
      <c r="D63" s="9" t="inlineStr">
        <is>
          <t>Job output 2026-09-04 to 2026-09-10 + job runbook</t>
        </is>
      </c>
      <c r="E63" s="8" t="inlineStr">
        <is>
          <t>Nadia Rahman</t>
        </is>
      </c>
      <c r="F63" s="10" t="n">
        <v>46249</v>
      </c>
      <c r="G63" s="10" t="n">
        <v>46275</v>
      </c>
      <c r="H63" s="10" t="n">
        <v>46275</v>
      </c>
      <c r="I63" s="8" t="inlineStr">
        <is>
          <t>Closed</t>
        </is>
      </c>
      <c r="J63" s="8" t="inlineStr">
        <is>
          <t>2026-09-04 to 2026-09-10</t>
        </is>
      </c>
      <c r="K63" s="9" t="inlineStr">
        <is>
          <t>evidence/AC/EVID-062_hr-okta-reconciliation-job_2026-09-10.csv</t>
        </is>
      </c>
      <c r="L63" s="8" t="inlineStr">
        <is>
          <t>Yes</t>
        </is>
      </c>
      <c r="M63" s="8" t="inlineStr">
        <is>
          <t>Lead assessor</t>
        </is>
      </c>
      <c r="N63" s="9" t="inlineStr">
        <is>
          <t>0 exceptions across 5 runs; covers Okta + AWS IAM + portal + contractor end dates</t>
        </is>
      </c>
      <c r="O63" s="8" t="inlineStr">
        <is>
          <t>Operating Effectiveness</t>
        </is>
      </c>
      <c r="P63" s="8" t="inlineStr">
        <is>
          <t>Sufficient</t>
        </is>
      </c>
      <c r="Q63" s="9" t="inlineStr"/>
      <c r="R63" s="9" t="inlineStr">
        <is>
          <t>No</t>
        </is>
      </c>
      <c r="S63" s="8">
        <f>IF(H63="",MAX(0,README!$B$4-G63),MAX(0,H63-G63))</f>
        <v/>
      </c>
      <c r="T63" s="9" t="inlineStr"/>
    </row>
    <row r="64">
      <c r="A64" s="8" t="inlineStr">
        <is>
          <t>EVID-063</t>
        </is>
      </c>
      <c r="B64" s="8" t="inlineStr">
        <is>
          <t>IA-2(1); IA-2(2)</t>
        </is>
      </c>
      <c r="C64" s="9" t="inlineStr">
        <is>
          <t>Okta policy export after remediation + group deletion record</t>
        </is>
      </c>
      <c r="D64" s="9" t="inlineStr">
        <is>
          <t>Okta Policies API export 2026-09-04</t>
        </is>
      </c>
      <c r="E64" s="8" t="inlineStr">
        <is>
          <t>Nadia Rahman</t>
        </is>
      </c>
      <c r="F64" s="10" t="n">
        <v>46249</v>
      </c>
      <c r="G64" s="10" t="n">
        <v>46270</v>
      </c>
      <c r="H64" s="10" t="n">
        <v>46269</v>
      </c>
      <c r="I64" s="8" t="inlineStr">
        <is>
          <t>Closed</t>
        </is>
      </c>
      <c r="J64" s="8" t="inlineStr">
        <is>
          <t>As of 2026-09-04</t>
        </is>
      </c>
      <c r="K64" s="9" t="inlineStr">
        <is>
          <t>evidence/IA/EVID-063_okta-authentication-policies_2026-09-04.json</t>
        </is>
      </c>
      <c r="L64" s="8" t="inlineStr">
        <is>
          <t>Yes</t>
        </is>
      </c>
      <c r="M64" s="8" t="inlineStr">
        <is>
          <t>Lead assessor</t>
        </is>
      </c>
      <c r="N64" s="9" t="inlineStr">
        <is>
          <t>Exemption policy/group deleted; admin apps phishing-resistant; password-only sign-in denied (re-performed)</t>
        </is>
      </c>
      <c r="O64" s="8" t="inlineStr">
        <is>
          <t>Implementation</t>
        </is>
      </c>
      <c r="P64" s="8" t="inlineStr">
        <is>
          <t>Sufficient</t>
        </is>
      </c>
      <c r="Q64" s="9" t="inlineStr"/>
      <c r="R64" s="9" t="inlineStr">
        <is>
          <t>No</t>
        </is>
      </c>
      <c r="S64" s="8">
        <f>IF(H64="",MAX(0,README!$B$4-G64),MAX(0,H64-G64))</f>
        <v/>
      </c>
      <c r="T64" s="9" t="inlineStr"/>
    </row>
    <row r="65">
      <c r="A65" s="8" t="inlineStr">
        <is>
          <t>EVID-064</t>
        </is>
      </c>
      <c r="B65" s="8" t="inlineStr">
        <is>
          <t>IA-2(1); IA-5; AC-2(3)</t>
        </is>
      </c>
      <c r="C65" s="9" t="inlineStr">
        <is>
          <t>AWS IAM credential report after remediation</t>
        </is>
      </c>
      <c r="D65" s="9" t="inlineStr">
        <is>
          <t>IAM credential report 2026-09-04</t>
        </is>
      </c>
      <c r="E65" s="8" t="inlineStr">
        <is>
          <t>Tomasz Wierzbicki</t>
        </is>
      </c>
      <c r="F65" s="10" t="n">
        <v>46249</v>
      </c>
      <c r="G65" s="10" t="n">
        <v>46270</v>
      </c>
      <c r="H65" s="10" t="n">
        <v>46269</v>
      </c>
      <c r="I65" s="8" t="inlineStr">
        <is>
          <t>Closed</t>
        </is>
      </c>
      <c r="J65" s="8" t="inlineStr">
        <is>
          <t>As of 2026-09-04</t>
        </is>
      </c>
      <c r="K65" s="9" t="inlineStr">
        <is>
          <t>evidence/IA/EVID-064_aws-iam-credential-report_2026-09-04.csv</t>
        </is>
      </c>
      <c r="L65" s="8" t="inlineStr">
        <is>
          <t>Yes</t>
        </is>
      </c>
      <c r="M65" s="8" t="inlineStr">
        <is>
          <t>Lead assessor</t>
        </is>
      </c>
      <c r="N65" s="9" t="inlineStr">
        <is>
          <t>Only break-glass IAM user remains (hardware MFA, no keys)</t>
        </is>
      </c>
      <c r="O65" s="8" t="inlineStr">
        <is>
          <t>Implementation</t>
        </is>
      </c>
      <c r="P65" s="8" t="inlineStr">
        <is>
          <t>Sufficient</t>
        </is>
      </c>
      <c r="Q65" s="9" t="inlineStr"/>
      <c r="R65" s="9" t="inlineStr">
        <is>
          <t>No</t>
        </is>
      </c>
      <c r="S65" s="8">
        <f>IF(H65="",MAX(0,README!$B$4-G65),MAX(0,H65-G65))</f>
        <v/>
      </c>
      <c r="T65" s="9" t="inlineStr"/>
    </row>
    <row r="66">
      <c r="A66" s="8" t="inlineStr">
        <is>
          <t>EVID-065</t>
        </is>
      </c>
      <c r="B66" s="8" t="inlineStr">
        <is>
          <t>AC-2; IA-5</t>
        </is>
      </c>
      <c r="C66" s="9" t="inlineStr">
        <is>
          <t>Updated service-account register showing owners, rotation, federation changes</t>
        </is>
      </c>
      <c r="D66" s="9" t="inlineStr">
        <is>
          <t>Service account register v2026-09 + change tickets</t>
        </is>
      </c>
      <c r="E66" s="8" t="inlineStr">
        <is>
          <t>Nadia Rahman</t>
        </is>
      </c>
      <c r="F66" s="10" t="n">
        <v>46249</v>
      </c>
      <c r="G66" s="10" t="n">
        <v>46277</v>
      </c>
      <c r="H66" s="10" t="n">
        <v>46276</v>
      </c>
      <c r="I66" s="8" t="inlineStr">
        <is>
          <t>Closed</t>
        </is>
      </c>
      <c r="J66" s="8" t="inlineStr">
        <is>
          <t>As of 2026-09-11</t>
        </is>
      </c>
      <c r="K66" s="9" t="inlineStr">
        <is>
          <t>GRC-Vault:/WCP-2026/IA/EVID-065_service-register-v2026-09.csv</t>
        </is>
      </c>
      <c r="L66" s="8" t="inlineStr">
        <is>
          <t>No</t>
        </is>
      </c>
      <c r="M66" s="8" t="inlineStr">
        <is>
          <t>Lead assessor</t>
        </is>
      </c>
      <c r="N66" s="9" t="inlineStr">
        <is>
          <t>All 13 owned; stale credentials rotated or federated; shared EDR login disabled</t>
        </is>
      </c>
      <c r="O66" s="8" t="inlineStr">
        <is>
          <t>Implementation</t>
        </is>
      </c>
      <c r="P66" s="8" t="inlineStr">
        <is>
          <t>Sufficient</t>
        </is>
      </c>
      <c r="Q66" s="9" t="inlineStr"/>
      <c r="R66" s="9" t="inlineStr">
        <is>
          <t>No</t>
        </is>
      </c>
      <c r="S66" s="8">
        <f>IF(H66="",MAX(0,README!$B$4-G66),MAX(0,H66-G66))</f>
        <v/>
      </c>
      <c r="T66" s="9" t="inlineStr"/>
    </row>
    <row r="67">
      <c r="A67" s="8" t="inlineStr">
        <is>
          <t>EVID-066</t>
        </is>
      </c>
      <c r="B67" s="8" t="inlineStr">
        <is>
          <t>PS-7</t>
        </is>
      </c>
      <c r="C67" s="9" t="inlineStr">
        <is>
          <t>Contractor end-date sync report and SOW amendment</t>
        </is>
      </c>
      <c r="D67" s="9" t="inlineStr">
        <is>
          <t>Okta account-expiry report + SOW 2025-061 amendment 1</t>
        </is>
      </c>
      <c r="E67" s="8" t="inlineStr">
        <is>
          <t>Sofia Ricci</t>
        </is>
      </c>
      <c r="F67" s="10" t="n">
        <v>46249</v>
      </c>
      <c r="G67" s="10" t="n">
        <v>46275</v>
      </c>
      <c r="H67" s="10" t="n">
        <v>46273</v>
      </c>
      <c r="I67" s="8" t="inlineStr">
        <is>
          <t>Closed</t>
        </is>
      </c>
      <c r="J67" s="8" t="inlineStr">
        <is>
          <t>As of 2026-09-08</t>
        </is>
      </c>
      <c r="K67" s="9" t="inlineStr">
        <is>
          <t>GRC-Vault:/WCP-2026/PS/EVID-066_contractor-expiry.csv</t>
        </is>
      </c>
      <c r="L67" s="8" t="inlineStr">
        <is>
          <t>No</t>
        </is>
      </c>
      <c r="M67" s="8" t="inlineStr">
        <is>
          <t>Lead assessor</t>
        </is>
      </c>
      <c r="N67" s="9" t="inlineStr">
        <is>
          <t>All contractor accounts carry expiry = SOW end date; awu amendment executed 2026-07-22</t>
        </is>
      </c>
      <c r="O67" s="8" t="inlineStr">
        <is>
          <t>Implementation</t>
        </is>
      </c>
      <c r="P67" s="8" t="inlineStr">
        <is>
          <t>Sufficient</t>
        </is>
      </c>
      <c r="Q67" s="9" t="inlineStr"/>
      <c r="R67" s="9" t="inlineStr">
        <is>
          <t>No</t>
        </is>
      </c>
      <c r="S67" s="8">
        <f>IF(H67="",MAX(0,README!$B$4-G67),MAX(0,H67-G67))</f>
        <v/>
      </c>
      <c r="T67" s="9" t="inlineStr"/>
    </row>
    <row r="68">
      <c r="A68" s="8" t="inlineStr">
        <is>
          <t>EVID-067</t>
        </is>
      </c>
      <c r="B68" s="8" t="inlineStr">
        <is>
          <t>AU-11</t>
        </is>
      </c>
      <c r="C68" s="9" t="inlineStr">
        <is>
          <t>Retention configuration after change + oldest-record checks</t>
        </is>
      </c>
      <c r="D68" s="9" t="inlineStr">
        <is>
          <t>S3 lifecycle + CloudWatch subscription + SIEM archive config + object age query</t>
        </is>
      </c>
      <c r="E68" s="8" t="inlineStr">
        <is>
          <t>Owen Castillo</t>
        </is>
      </c>
      <c r="F68" s="10" t="n">
        <v>46249</v>
      </c>
      <c r="G68" s="10" t="n">
        <v>46280</v>
      </c>
      <c r="H68" s="10" t="n">
        <v>46277</v>
      </c>
      <c r="I68" s="8" t="inlineStr">
        <is>
          <t>Closed</t>
        </is>
      </c>
      <c r="J68" s="8" t="inlineStr">
        <is>
          <t>As of 2026-09-12</t>
        </is>
      </c>
      <c r="K68" s="9" t="inlineStr">
        <is>
          <t>evidence/AU/EVID-067_log-retention-config_2026-09-12.json</t>
        </is>
      </c>
      <c r="L68" s="8" t="inlineStr">
        <is>
          <t>Yes</t>
        </is>
      </c>
      <c r="M68" s="8" t="inlineStr">
        <is>
          <t>Lead assessor</t>
        </is>
      </c>
      <c r="N68" s="9" t="inlineStr">
        <is>
          <t>400-day retention; objects from 2026-03-20 still present (182 days)</t>
        </is>
      </c>
      <c r="O68" s="8" t="inlineStr">
        <is>
          <t>Implementation</t>
        </is>
      </c>
      <c r="P68" s="8" t="inlineStr">
        <is>
          <t>Sufficient</t>
        </is>
      </c>
      <c r="Q68" s="9" t="inlineStr"/>
      <c r="R68" s="9" t="inlineStr">
        <is>
          <t>No</t>
        </is>
      </c>
      <c r="S68" s="8">
        <f>IF(H68="",MAX(0,README!$B$4-G68),MAX(0,H68-G68))</f>
        <v/>
      </c>
      <c r="T68" s="9" t="inlineStr"/>
    </row>
    <row r="69">
      <c r="A69" s="8" t="inlineStr">
        <is>
          <t>EVID-068</t>
        </is>
      </c>
      <c r="B69" s="8" t="inlineStr">
        <is>
          <t>SC-7; CM-6</t>
        </is>
      </c>
      <c r="C69" s="9" t="inlineStr">
        <is>
          <t>Security group change record and Security Hub re-evaluation</t>
        </is>
      </c>
      <c r="D69" s="9" t="inlineStr">
        <is>
          <t>CHG-2026-0521 + SG export + Security Hub PASSED status</t>
        </is>
      </c>
      <c r="E69" s="8" t="inlineStr">
        <is>
          <t>Tomasz Wierzbicki</t>
        </is>
      </c>
      <c r="F69" s="10" t="n">
        <v>46205</v>
      </c>
      <c r="G69" s="10" t="n">
        <v>46213</v>
      </c>
      <c r="H69" s="10" t="n">
        <v>46213</v>
      </c>
      <c r="I69" s="8" t="inlineStr">
        <is>
          <t>Closed</t>
        </is>
      </c>
      <c r="J69" s="8" t="inlineStr">
        <is>
          <t>As of 2026-07-10</t>
        </is>
      </c>
      <c r="K69" s="9" t="inlineStr">
        <is>
          <t>GRC-Vault:/WCP-2026/SC/EVID-068_sg-fix.zip</t>
        </is>
      </c>
      <c r="L69" s="8" t="inlineStr">
        <is>
          <t>No</t>
        </is>
      </c>
      <c r="M69" s="8" t="inlineStr">
        <is>
          <t>Lead assessor</t>
        </is>
      </c>
      <c r="N69" s="9" t="inlineStr">
        <is>
          <t>3389 rule removed; admin via SSM only; finding PASSED</t>
        </is>
      </c>
      <c r="O69" s="8" t="inlineStr">
        <is>
          <t>Implementation</t>
        </is>
      </c>
      <c r="P69" s="8" t="inlineStr">
        <is>
          <t>Sufficient</t>
        </is>
      </c>
      <c r="Q69" s="9" t="inlineStr"/>
      <c r="R69" s="9" t="inlineStr">
        <is>
          <t>No</t>
        </is>
      </c>
      <c r="S69" s="8">
        <f>IF(H69="",MAX(0,README!$B$4-G69),MAX(0,H69-G69))</f>
        <v/>
      </c>
      <c r="T69" s="9" t="inlineStr"/>
    </row>
    <row r="70">
      <c r="A70" s="8" t="inlineStr">
        <is>
          <t>EVID-069</t>
        </is>
      </c>
      <c r="B70" s="8" t="inlineStr">
        <is>
          <t>CP-9(1)</t>
        </is>
      </c>
      <c r="C70" s="9" t="inlineStr">
        <is>
          <t>Restore test record with timings and integrity checks</t>
        </is>
      </c>
      <c r="D70" s="9" t="inlineStr">
        <is>
          <t>Restore test record 2026-08-27 (assessor observed)</t>
        </is>
      </c>
      <c r="E70" s="8" t="inlineStr">
        <is>
          <t>Tomasz Wierzbicki</t>
        </is>
      </c>
      <c r="F70" s="10" t="n">
        <v>46249</v>
      </c>
      <c r="G70" s="10" t="n">
        <v>46266</v>
      </c>
      <c r="H70" s="10" t="n">
        <v>46262</v>
      </c>
      <c r="I70" s="8" t="inlineStr">
        <is>
          <t>Closed</t>
        </is>
      </c>
      <c r="J70" s="8" t="inlineStr">
        <is>
          <t>2026-08-27</t>
        </is>
      </c>
      <c r="K70" s="9" t="inlineStr">
        <is>
          <t>evidence/CP/EVID-069_restore-test-record_2026-08-27.md</t>
        </is>
      </c>
      <c r="L70" s="8" t="inlineStr">
        <is>
          <t>Yes</t>
        </is>
      </c>
      <c r="M70" s="8" t="inlineStr">
        <is>
          <t>Lead assessor</t>
        </is>
      </c>
      <c r="N70" s="9" t="inlineStr">
        <is>
          <t>RTO 3h41m (target 4h); data loss 11 min (RPO 1h); integrity checks passed</t>
        </is>
      </c>
      <c r="O70" s="8" t="inlineStr">
        <is>
          <t>Operating Effectiveness</t>
        </is>
      </c>
      <c r="P70" s="8" t="inlineStr">
        <is>
          <t>Sufficient</t>
        </is>
      </c>
      <c r="Q70" s="9" t="inlineStr"/>
      <c r="R70" s="9" t="inlineStr">
        <is>
          <t>No</t>
        </is>
      </c>
      <c r="S70" s="8">
        <f>IF(H70="",MAX(0,README!$B$4-G70),MAX(0,H70-G70))</f>
        <v/>
      </c>
      <c r="T70" s="9" t="inlineStr"/>
    </row>
    <row r="71">
      <c r="A71" s="8" t="inlineStr">
        <is>
          <t>EVID-070</t>
        </is>
      </c>
      <c r="B71" s="8" t="inlineStr">
        <is>
          <t>AT-2</t>
        </is>
      </c>
      <c r="C71" s="9" t="inlineStr">
        <is>
          <t>LMS completion report after enforcement</t>
        </is>
      </c>
      <c r="D71" s="9" t="inlineStr">
        <is>
          <t>LMS report 2026-09-12 (344 of 347; 3 on leave)</t>
        </is>
      </c>
      <c r="E71" s="8" t="inlineStr">
        <is>
          <t>Denise Yamamoto</t>
        </is>
      </c>
      <c r="F71" s="10" t="n">
        <v>46249</v>
      </c>
      <c r="G71" s="10" t="n">
        <v>46280</v>
      </c>
      <c r="H71" s="10" t="n">
        <v>46279</v>
      </c>
      <c r="I71" s="8" t="inlineStr">
        <is>
          <t>Under Review</t>
        </is>
      </c>
      <c r="J71" s="8" t="inlineStr">
        <is>
          <t>As of 2026-09-12</t>
        </is>
      </c>
      <c r="K71" s="9" t="inlineStr">
        <is>
          <t>GRC-Vault:/WCP-2026/AT/EVID-070_lms-completion-2026-09-12.csv</t>
        </is>
      </c>
      <c r="L71" s="8" t="inlineStr">
        <is>
          <t>No</t>
        </is>
      </c>
      <c r="M71" s="8" t="inlineStr">
        <is>
          <t>Lead assessor</t>
        </is>
      </c>
      <c r="N71" s="9" t="inlineStr">
        <is>
          <t>In review: verifying leave records for 3 exceptions against PeopleHub</t>
        </is>
      </c>
      <c r="O71" s="8" t="inlineStr">
        <is>
          <t>Operating Effectiveness</t>
        </is>
      </c>
      <c r="P71" s="8" t="inlineStr">
        <is>
          <t>Pending</t>
        </is>
      </c>
      <c r="Q71" s="9" t="inlineStr"/>
      <c r="R71" s="9" t="inlineStr">
        <is>
          <t>Yes: complete review by 2026-09-25</t>
        </is>
      </c>
      <c r="S71" s="8">
        <f>IF(H71="",MAX(0,README!$B$4-G71),MAX(0,H71-G71))</f>
        <v/>
      </c>
      <c r="T71" s="9" t="inlineStr"/>
    </row>
    <row r="72">
      <c r="A72" s="8" t="inlineStr">
        <is>
          <t>EVID-071</t>
        </is>
      </c>
      <c r="B72" s="8" t="inlineStr">
        <is>
          <t>AC-6; AC-6(5)</t>
        </is>
      </c>
      <c r="C72" s="9" t="inlineStr">
        <is>
          <t>Just-in-time elevation workflow design and a live elevation record</t>
        </is>
      </c>
      <c r="D72" s="9" t="inlineStr">
        <is>
          <t>Design doc + screenshot of approval screen</t>
        </is>
      </c>
      <c r="E72" s="8" t="inlineStr">
        <is>
          <t>Tomasz Wierzbicki</t>
        </is>
      </c>
      <c r="F72" s="10" t="n">
        <v>46249</v>
      </c>
      <c r="G72" s="10" t="n">
        <v>46277</v>
      </c>
      <c r="H72" s="10" t="n">
        <v>46276</v>
      </c>
      <c r="I72" s="8" t="inlineStr">
        <is>
          <t>Rework Required</t>
        </is>
      </c>
      <c r="J72" s="8" t="inlineStr">
        <is>
          <t>As of 2026-09-10</t>
        </is>
      </c>
      <c r="K72" s="9" t="inlineStr">
        <is>
          <t>GRC-Vault:/WCP-2026/AC/EVID-071_jit-design.pdf</t>
        </is>
      </c>
      <c r="L72" s="8" t="inlineStr">
        <is>
          <t>No</t>
        </is>
      </c>
      <c r="M72" s="8" t="inlineStr">
        <is>
          <t>Lead assessor</t>
        </is>
      </c>
      <c r="N72" s="9" t="inlineStr">
        <is>
          <t>Screenshot does not show a live elevation, approver, session expiry, or CloudTrail record</t>
        </is>
      </c>
      <c r="O72" s="8" t="inlineStr">
        <is>
          <t>Design</t>
        </is>
      </c>
      <c r="P72" s="8" t="inlineStr">
        <is>
          <t>Insufficient (rework)</t>
        </is>
      </c>
      <c r="Q72" s="9" t="inlineStr">
        <is>
          <t>Design-only evidence for an operating control</t>
        </is>
      </c>
      <c r="R72" s="9" t="inlineStr">
        <is>
          <t>Yes: provide a live elevation record with CloudTrail AssumeRole event and auto-expiry</t>
        </is>
      </c>
      <c r="S72" s="8">
        <f>IF(H72="",MAX(0,README!$B$4-G72),MAX(0,H72-G72))</f>
        <v/>
      </c>
      <c r="T72" s="9" t="inlineStr"/>
    </row>
    <row r="73">
      <c r="A73" s="8" t="inlineStr">
        <is>
          <t>EVID-072</t>
        </is>
      </c>
      <c r="B73" s="8" t="inlineStr">
        <is>
          <t>AU-6</t>
        </is>
      </c>
      <c r="C73" s="9" t="inlineStr">
        <is>
          <t>Weekly review tickets W27–W37 after the backup-reviewer change</t>
        </is>
      </c>
      <c r="D73" s="9" t="inlineStr">
        <is>
          <t>SEC ticket export W27–W37</t>
        </is>
      </c>
      <c r="E73" s="8" t="inlineStr">
        <is>
          <t>Owen Castillo</t>
        </is>
      </c>
      <c r="F73" s="10" t="n">
        <v>46249</v>
      </c>
      <c r="G73" s="10" t="n">
        <v>46280</v>
      </c>
      <c r="H73" s="10" t="n">
        <v>46281</v>
      </c>
      <c r="I73" s="8" t="inlineStr">
        <is>
          <t>Received</t>
        </is>
      </c>
      <c r="J73" s="8" t="inlineStr">
        <is>
          <t>2026-W27 to 2026-W37</t>
        </is>
      </c>
      <c r="K73" s="9" t="inlineStr">
        <is>
          <t>GRC-Vault:/WCP-2026/AU/EVID-072_reviews-W27-W37.csv</t>
        </is>
      </c>
      <c r="L73" s="8" t="inlineStr">
        <is>
          <t>No</t>
        </is>
      </c>
      <c r="M73" s="8" t="inlineStr">
        <is>
          <t>Lead assessor</t>
        </is>
      </c>
      <c r="N73" s="9" t="inlineStr">
        <is>
          <t>Not yet reviewed (received after the due date)</t>
        </is>
      </c>
      <c r="O73" s="8" t="inlineStr">
        <is>
          <t>Operating Effectiveness</t>
        </is>
      </c>
      <c r="P73" s="8" t="inlineStr">
        <is>
          <t>Pending</t>
        </is>
      </c>
      <c r="Q73" s="9" t="inlineStr"/>
      <c r="R73" s="9" t="inlineStr">
        <is>
          <t>Yes: review by 2026-09-25</t>
        </is>
      </c>
      <c r="S73" s="8">
        <f>IF(H73="",MAX(0,README!$B$4-G73),MAX(0,H73-G73))</f>
        <v/>
      </c>
      <c r="T73" s="9" t="inlineStr"/>
    </row>
    <row r="74">
      <c r="A74" s="8" t="inlineStr">
        <is>
          <t>EVID-073</t>
        </is>
      </c>
      <c r="B74" s="8" t="inlineStr">
        <is>
          <t>SA-9; SR-6</t>
        </is>
      </c>
      <c r="C74" s="9" t="inlineStr">
        <is>
          <t>Quarrystone contract amendment (redline) and interim US-only access confirmation</t>
        </is>
      </c>
      <c r="D74" s="9" t="inlineStr">
        <is>
          <t>Amendment redline v3 + vendor letter confirming offshore access suspended 2026-07-24</t>
        </is>
      </c>
      <c r="E74" s="8" t="inlineStr">
        <is>
          <t>Beth Kowalski</t>
        </is>
      </c>
      <c r="F74" s="10" t="n">
        <v>46249</v>
      </c>
      <c r="G74" s="10" t="n">
        <v>46295</v>
      </c>
      <c r="H74" s="10" t="n">
        <v>46280</v>
      </c>
      <c r="I74" s="8" t="inlineStr">
        <is>
          <t>Under Review</t>
        </is>
      </c>
      <c r="J74" s="8" t="inlineStr">
        <is>
          <t>As of 2026-09-15</t>
        </is>
      </c>
      <c r="K74" s="9" t="inlineStr">
        <is>
          <t>GRC-Vault:/WCP-2026/SR/EVID-073_quarrystone-amendment-v3.pdf</t>
        </is>
      </c>
      <c r="L74" s="8" t="inlineStr">
        <is>
          <t>No</t>
        </is>
      </c>
      <c r="M74" s="8" t="inlineStr">
        <is>
          <t>Lead assessor</t>
        </is>
      </c>
      <c r="N74" s="9" t="inlineStr">
        <is>
          <t>Letter accepted as interim containment; amendment not yet executed</t>
        </is>
      </c>
      <c r="O74" s="8" t="inlineStr">
        <is>
          <t>Design</t>
        </is>
      </c>
      <c r="P74" s="8" t="inlineStr">
        <is>
          <t>Pending</t>
        </is>
      </c>
      <c r="Q74" s="9" t="inlineStr"/>
      <c r="R74" s="9" t="inlineStr">
        <is>
          <t>Yes: executed amendment required before SHCA data flows</t>
        </is>
      </c>
      <c r="S74" s="8">
        <f>IF(H74="",MAX(0,README!$B$4-G74),MAX(0,H74-G74))</f>
        <v/>
      </c>
      <c r="T74" s="9" t="inlineStr"/>
    </row>
    <row r="75">
      <c r="A75" s="8" t="inlineStr">
        <is>
          <t>EVID-074</t>
        </is>
      </c>
      <c r="B75" s="8" t="inlineStr">
        <is>
          <t>AC-6(7)</t>
        </is>
      </c>
      <c r="C75" s="9" t="inlineStr">
        <is>
          <t>Q3 2026 privileged access certification (new design)</t>
        </is>
      </c>
      <c r="D75" s="9" t="inlineStr">
        <is>
          <t>Campaign in progress</t>
        </is>
      </c>
      <c r="E75" s="8" t="inlineStr">
        <is>
          <t>Alicia Moreno</t>
        </is>
      </c>
      <c r="F75" s="10" t="n">
        <v>46266</v>
      </c>
      <c r="G75" s="10" t="n">
        <v>46295</v>
      </c>
      <c r="H75" s="10" t="n"/>
      <c r="I75" s="8" t="inlineStr">
        <is>
          <t>Requested</t>
        </is>
      </c>
      <c r="J75" s="8" t="inlineStr">
        <is>
          <t>2026-Q3</t>
        </is>
      </c>
      <c r="K75" s="9" t="inlineStr">
        <is>
          <t>GRC-Vault:/WCP-2026/AC/EVID-074_pending</t>
        </is>
      </c>
      <c r="L75" s="8" t="inlineStr">
        <is>
          <t>No</t>
        </is>
      </c>
      <c r="M75" s="8" t="inlineStr">
        <is>
          <t>Lead assessor</t>
        </is>
      </c>
      <c r="N75" s="9" t="inlineStr">
        <is>
          <t>Not yet due</t>
        </is>
      </c>
      <c r="O75" s="8" t="inlineStr">
        <is>
          <t>Operating Effectiveness</t>
        </is>
      </c>
      <c r="P75" s="8" t="inlineStr">
        <is>
          <t>Pending</t>
        </is>
      </c>
      <c r="Q75" s="9" t="inlineStr"/>
      <c r="R75" s="9" t="inlineStr">
        <is>
          <t>Yes: due 2026-09-30</t>
        </is>
      </c>
      <c r="S75" s="8">
        <f>IF(H75="",MAX(0,README!$B$4-G75),MAX(0,H75-G75))</f>
        <v/>
      </c>
      <c r="T75" s="9" t="inlineStr"/>
    </row>
    <row r="76">
      <c r="A76" s="8" t="inlineStr">
        <is>
          <t>EVID-075</t>
        </is>
      </c>
      <c r="B76" s="8" t="inlineStr">
        <is>
          <t>AC-6; AC-6(2); AC-6(5)</t>
        </is>
      </c>
      <c r="C76" s="9" t="inlineStr">
        <is>
          <t>Identity Center assignment export after privilege reduction</t>
        </is>
      </c>
      <c r="D76" s="9" t="inlineStr">
        <is>
          <t>Identity Center assignment export 2026-09-03</t>
        </is>
      </c>
      <c r="E76" s="8" t="inlineStr">
        <is>
          <t>Tomasz Wierzbicki</t>
        </is>
      </c>
      <c r="F76" s="10" t="n">
        <v>46249</v>
      </c>
      <c r="G76" s="10" t="n">
        <v>46270</v>
      </c>
      <c r="H76" s="10" t="n">
        <v>46268</v>
      </c>
      <c r="I76" s="8" t="inlineStr">
        <is>
          <t>Accepted</t>
        </is>
      </c>
      <c r="J76" s="8" t="inlineStr">
        <is>
          <t>As of 2026-09-03</t>
        </is>
      </c>
      <c r="K76" s="9" t="inlineStr">
        <is>
          <t>GRC-Vault:/WCP-2026/AC/EVID-075_idc-assignments-2026-09-03.csv</t>
        </is>
      </c>
      <c r="L76" s="8" t="inlineStr">
        <is>
          <t>No</t>
        </is>
      </c>
      <c r="M76" s="8" t="inlineStr">
        <is>
          <t>Lead assessor</t>
        </is>
      </c>
      <c r="N76" s="9" t="inlineStr">
        <is>
          <t>AdministratorAccess now on jkim-adm, lbaptiste-adm, twierzbicki (daily; pending AR-EX-10) + break-glass</t>
        </is>
      </c>
      <c r="O76" s="8" t="inlineStr">
        <is>
          <t>Implementation</t>
        </is>
      </c>
      <c r="P76" s="8" t="inlineStr">
        <is>
          <t>Sufficient</t>
        </is>
      </c>
      <c r="Q76" s="9" t="inlineStr"/>
      <c r="R76" s="9" t="inlineStr">
        <is>
          <t>No</t>
        </is>
      </c>
      <c r="S76" s="8">
        <f>IF(H76="",MAX(0,README!$B$4-G76),MAX(0,H76-G76))</f>
        <v/>
      </c>
      <c r="T76" s="9" t="inlineStr"/>
    </row>
    <row r="77">
      <c r="A77" s="8" t="inlineStr">
        <is>
          <t>EVID-076</t>
        </is>
      </c>
      <c r="B77" s="8" t="inlineStr">
        <is>
          <t>AC-6(5)</t>
        </is>
      </c>
      <c r="C77" s="9" t="inlineStr">
        <is>
          <t>GitHub org owners after reduction</t>
        </is>
      </c>
      <c r="D77" s="9" t="inlineStr">
        <is>
          <t>GitHub org member export 2026-08-12</t>
        </is>
      </c>
      <c r="E77" s="8" t="inlineStr">
        <is>
          <t>Grace Lindqvist</t>
        </is>
      </c>
      <c r="F77" s="10" t="n">
        <v>46244</v>
      </c>
      <c r="G77" s="10" t="n">
        <v>46248</v>
      </c>
      <c r="H77" s="10" t="n">
        <v>46246</v>
      </c>
      <c r="I77" s="8" t="inlineStr">
        <is>
          <t>Accepted</t>
        </is>
      </c>
      <c r="J77" s="8" t="inlineStr">
        <is>
          <t>As of 2026-08-12</t>
        </is>
      </c>
      <c r="K77" s="9" t="inlineStr">
        <is>
          <t>GRC-Vault:/WCP-2026/AC/EVID-076_github-owners-2026-08-12.csv</t>
        </is>
      </c>
      <c r="L77" s="8" t="inlineStr">
        <is>
          <t>No</t>
        </is>
      </c>
      <c r="M77" s="8" t="inlineStr">
        <is>
          <t>Lead assessor</t>
        </is>
      </c>
      <c r="N77" s="9" t="inlineStr">
        <is>
          <t>3 owners (shaddad, twierzbicki, jkim)</t>
        </is>
      </c>
      <c r="O77" s="8" t="inlineStr">
        <is>
          <t>Implementation</t>
        </is>
      </c>
      <c r="P77" s="8" t="inlineStr">
        <is>
          <t>Sufficient</t>
        </is>
      </c>
      <c r="Q77" s="9" t="inlineStr"/>
      <c r="R77" s="9" t="inlineStr">
        <is>
          <t>No</t>
        </is>
      </c>
      <c r="S77" s="8">
        <f>IF(H77="",MAX(0,README!$B$4-G77),MAX(0,H77-G77))</f>
        <v/>
      </c>
      <c r="T77" s="9" t="inlineStr"/>
    </row>
    <row r="78">
      <c r="A78" s="8" t="inlineStr">
        <is>
          <t>EVID-077</t>
        </is>
      </c>
      <c r="B78" s="8" t="inlineStr">
        <is>
          <t>AC-6(5); AC-6(2)</t>
        </is>
      </c>
      <c r="C78" s="9" t="inlineStr">
        <is>
          <t>Okta administrator role assignment report after change</t>
        </is>
      </c>
      <c r="D78" s="9" t="inlineStr">
        <is>
          <t>Okta admin roles report 2026-07-21</t>
        </is>
      </c>
      <c r="E78" s="8" t="inlineStr">
        <is>
          <t>Nadia Rahman</t>
        </is>
      </c>
      <c r="F78" s="10" t="n">
        <v>46223</v>
      </c>
      <c r="G78" s="10" t="n">
        <v>46227</v>
      </c>
      <c r="H78" s="10" t="n">
        <v>46224</v>
      </c>
      <c r="I78" s="8" t="inlineStr">
        <is>
          <t>Accepted</t>
        </is>
      </c>
      <c r="J78" s="8" t="inlineStr">
        <is>
          <t>As of 2026-07-21</t>
        </is>
      </c>
      <c r="K78" s="9" t="inlineStr">
        <is>
          <t>GRC-Vault:/WCP-2026/AC/EVID-077_okta-admin-roles-2026-07-21.csv</t>
        </is>
      </c>
      <c r="L78" s="8" t="inlineStr">
        <is>
          <t>No</t>
        </is>
      </c>
      <c r="M78" s="8" t="inlineStr">
        <is>
          <t>Lead assessor</t>
        </is>
      </c>
      <c r="N78" s="9" t="inlineStr">
        <is>
          <t>Super Admin: nrahman-adm + break-glass only</t>
        </is>
      </c>
      <c r="O78" s="8" t="inlineStr">
        <is>
          <t>Implementation</t>
        </is>
      </c>
      <c r="P78" s="8" t="inlineStr">
        <is>
          <t>Sufficient</t>
        </is>
      </c>
      <c r="Q78" s="9" t="inlineStr"/>
      <c r="R78" s="9" t="inlineStr">
        <is>
          <t>No</t>
        </is>
      </c>
      <c r="S78" s="8">
        <f>IF(H78="",MAX(0,README!$B$4-G78),MAX(0,H78-G78))</f>
        <v/>
      </c>
      <c r="T78" s="9" t="inlineStr"/>
    </row>
    <row r="79">
      <c r="A79" s="8" t="inlineStr">
        <is>
          <t>EVID-078</t>
        </is>
      </c>
      <c r="B79" s="8" t="inlineStr">
        <is>
          <t>IR-4; AC-2(3)</t>
        </is>
      </c>
      <c r="C79" s="9" t="inlineStr">
        <is>
          <t>Investigation record for INC-2026-0117 (post-termination sign-in)</t>
        </is>
      </c>
      <c r="D79" s="9" t="inlineStr">
        <is>
          <t>Incident record with timeline, log review, and breach risk assessment</t>
        </is>
      </c>
      <c r="E79" s="8" t="inlineStr">
        <is>
          <t>Owen Castillo</t>
        </is>
      </c>
      <c r="F79" s="10" t="n">
        <v>46209</v>
      </c>
      <c r="G79" s="10" t="n">
        <v>46213</v>
      </c>
      <c r="H79" s="10" t="n">
        <v>46212</v>
      </c>
      <c r="I79" s="8" t="inlineStr">
        <is>
          <t>Accepted</t>
        </is>
      </c>
      <c r="J79" s="8" t="inlineStr">
        <is>
          <t>2026-07-06 to 2026-07-09</t>
        </is>
      </c>
      <c r="K79" s="9" t="inlineStr">
        <is>
          <t>evidence/IR/EVID-078_INC-2026-0117-investigation.md</t>
        </is>
      </c>
      <c r="L79" s="8" t="inlineStr">
        <is>
          <t>Yes</t>
        </is>
      </c>
      <c r="M79" s="8" t="inlineStr">
        <is>
          <t>Lead assessor</t>
        </is>
      </c>
      <c r="N79" s="9" t="inlineStr">
        <is>
          <t>Contained same day; 4-factor assessment documented; no evidence of PHI access</t>
        </is>
      </c>
      <c r="O79" s="8" t="inlineStr">
        <is>
          <t>Operating Effectiveness</t>
        </is>
      </c>
      <c r="P79" s="8" t="inlineStr">
        <is>
          <t>Sufficient</t>
        </is>
      </c>
      <c r="Q79" s="9" t="inlineStr"/>
      <c r="R79" s="9" t="inlineStr">
        <is>
          <t>No</t>
        </is>
      </c>
      <c r="S79" s="8">
        <f>IF(H79="",MAX(0,README!$B$4-G79),MAX(0,H79-G79))</f>
        <v/>
      </c>
      <c r="T79" s="9" t="inlineStr"/>
    </row>
  </sheetData>
  <autoFilter ref="A1:T79"/>
  <conditionalFormatting sqref="I2:I279">
    <cfRule type="expression" priority="1" dxfId="0">
      <formula>I2="Satisfied"</formula>
    </cfRule>
    <cfRule type="expression" priority="2" dxfId="1">
      <formula>I2="Other Than Satisfied"</formula>
    </cfRule>
    <cfRule type="expression" priority="3" dxfId="0">
      <formula>I2="Closed"</formula>
    </cfRule>
    <cfRule type="expression" priority="4" dxfId="0">
      <formula>I2="Accepted"</formula>
    </cfRule>
    <cfRule type="expression" priority="5" dxfId="2">
      <formula>I2="Risk Accepted"</formula>
    </cfRule>
    <cfRule type="expression" priority="6" dxfId="1">
      <formula>I2="Overdue"</formula>
    </cfRule>
    <cfRule type="expression" priority="7" dxfId="1">
      <formula>I2="Yes"</formula>
    </cfRule>
    <cfRule type="expression" priority="8" dxfId="1">
      <formula>I2="Insufficient"</formula>
    </cfRule>
    <cfRule type="expression" priority="9" dxfId="3">
      <formula>I2="Rework Required"</formula>
    </cfRule>
    <cfRule type="expression" priority="10" dxfId="3">
      <formula>I2="Delayed"</formula>
    </cfRule>
  </conditionalFormatting>
  <dataValidations count="2">
    <dataValidation sqref="I2:I279" showDropDown="0" showInputMessage="0" showErrorMessage="1" allowBlank="1" errorTitle="Controlled value" error="Choose a value from the list (controlled vocabulary)." type="list">
      <formula1>"Not Requested,Requested,Received,Under Review,Accepted,Insufficient,Rework Required,Closed"</formula1>
    </dataValidation>
    <dataValidation sqref="O2:O279" showDropDown="0" showInputMessage="0" showErrorMessage="1" allowBlank="1" errorTitle="Controlled value" error="Choose a value from the list (controlled vocabulary)." type="list">
      <formula1>"Design,Implementation,Operating Effectiveness"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2026-09-23T05:43:40Z</dcterms:created>
  <dcterms:modified xsi:type="dcterms:W3CDTF">2026-09-23T05:43:40Z</dcterms:modified>
</cp:coreProperties>
</file>