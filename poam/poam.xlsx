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OAM" sheetId="2" state="visible" r:id="rId2"/>
    <sheet name="Milestones" sheetId="3" state="visible" r:id="rId3"/>
  </sheets>
  <definedNames>
    <definedName name="_xlnm._FilterDatabase" localSheetId="1" hidden="1">'POAM'!$A$1:$AC$20</definedName>
    <definedName name="_xlnm._FilterDatabase" localSheetId="2" hidden="1">'Milestones'!$A$1:$G$73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/>
    </xf>
    <xf numFmtId="9" fontId="7" fillId="0" borderId="1" applyAlignment="1" pivotButton="0" quotePrefix="0" xfId="0">
      <alignment vertical="top"/>
    </xf>
  </cellXfs>
  <cellStyles count="1">
    <cellStyle name="Normal" xfId="0" builtinId="0" hidden="0"/>
  </cellStyles>
  <dxfs count="8">
    <dxf>
      <font>
        <name val="Arial"/>
        <b val="1"/>
        <color rgb="00FFFFFF"/>
      </font>
      <fill>
        <patternFill patternType="solid">
          <fgColor rgb="007A1020"/>
        </patternFill>
      </fill>
    </dxf>
    <dxf>
      <font>
        <name val="Arial"/>
        <b val="1"/>
        <color rgb="00FFFFFF"/>
      </font>
      <fill>
        <patternFill patternType="solid">
          <fgColor rgb="00E4572E"/>
        </patternFill>
      </fill>
    </dxf>
    <dxf>
      <font>
        <name val="Arial"/>
        <b val="1"/>
        <color rgb="001A1A1A"/>
      </font>
      <fill>
        <patternFill patternType="solid">
          <fgColor rgb="00F4B942"/>
        </patternFill>
      </fill>
    </dxf>
    <dxf>
      <font>
        <name val="Arial"/>
        <b val="1"/>
        <color rgb="00FFFFFF"/>
      </font>
      <fill>
        <patternFill patternType="solid">
          <fgColor rgb="005DA271"/>
        </patternFill>
      </fill>
    </dxf>
    <dxf>
      <fill>
        <patternFill patternType="solid">
          <fgColor rgb="00D9EFD8"/>
        </patternFill>
      </fill>
    </dxf>
    <dxf>
      <fill>
        <patternFill patternType="solid">
          <fgColor rgb="00F9D6CF"/>
        </patternFill>
      </fill>
    </dxf>
    <dxf>
      <fill>
        <patternFill patternType="solid">
          <fgColor rgb="00E6E0F3"/>
        </patternFill>
      </fill>
    </dxf>
    <dxf>
      <fill>
        <patternFill patternType="solid">
          <fgColor rgb="00FBE3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Plan of Action &amp; Milestones (POA&amp;M)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Scope</t>
        </is>
      </c>
      <c r="B6" s="6" t="inlineStr">
        <is>
          <t>Every finding (FIND-nnn) has POAM-nnn, including the risk-accepted item: nothing silently drops off</t>
        </is>
      </c>
    </row>
    <row r="7">
      <c r="A7" s="3" t="inlineStr">
        <is>
          <t>SLA</t>
        </is>
      </c>
      <c r="B7" s="6" t="inlineStr">
        <is>
          <t>From Open Date: Critical 30 / High 90 / Moderate 180 / Low 365 days (RSK-MTH-001 §9). SLA Date is a live formula</t>
        </is>
      </c>
    </row>
    <row r="8">
      <c r="A8" s="3" t="inlineStr">
        <is>
          <t>Original vs current target</t>
        </is>
      </c>
      <c r="B8" s="6" t="inlineStr">
        <is>
          <t>Original target never changes. A changed current target needs a documented, approved reason; 'Slipped?' is a formula</t>
        </is>
      </c>
    </row>
    <row r="9">
      <c r="A9" s="3" t="inlineStr">
        <is>
          <t>Percent Complete</t>
        </is>
      </c>
      <c r="B9" s="6" t="inlineStr">
        <is>
          <t>Formula: milestones Done / total milestones (Milestones sheet). No subjective percentages</t>
        </is>
      </c>
    </row>
    <row r="10">
      <c r="A10" s="3" t="inlineStr">
        <is>
          <t>Overdue?</t>
        </is>
      </c>
      <c r="B10" s="6" t="inlineStr">
        <is>
          <t>Formula: status not Closed/Risk Accepted AND current target &lt; as-of date</t>
        </is>
      </c>
    </row>
    <row r="11">
      <c r="A11" s="3" t="inlineStr">
        <is>
          <t>Closure rule</t>
        </is>
      </c>
      <c r="B11" s="6" t="inlineStr">
        <is>
          <t>Status 'Closed' only after assessor validation with closure evidence (see Validation Method)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2" customWidth="1" min="5" max="5"/>
    <col width="42" customWidth="1" min="6" max="6"/>
    <col width="16" customWidth="1" min="7" max="7"/>
    <col width="42" customWidth="1" min="8" max="8"/>
    <col width="70" customWidth="1" min="9" max="9"/>
    <col width="16" customWidth="1" min="10" max="10"/>
    <col width="42" customWidth="1" min="11" max="11"/>
    <col width="16" customWidth="1" min="12" max="12"/>
    <col width="16" customWidth="1" min="13" max="13"/>
    <col width="22" customWidth="1" min="14" max="14"/>
    <col width="21" customWidth="1" min="15" max="15"/>
    <col width="42" customWidth="1" min="16" max="16"/>
    <col width="16" customWidth="1" min="17" max="17"/>
    <col width="18" customWidth="1" min="18" max="18"/>
    <col width="16" customWidth="1" min="19" max="19"/>
    <col width="16" customWidth="1" min="20" max="20"/>
    <col width="16" customWidth="1" min="21" max="21"/>
    <col width="20" customWidth="1" min="22" max="22"/>
    <col width="42" customWidth="1" min="23" max="23"/>
    <col width="42" customWidth="1" min="24" max="24"/>
    <col width="18" customWidth="1" min="25" max="25"/>
    <col width="16" customWidth="1" min="26" max="26"/>
    <col width="16" customWidth="1" min="27" max="27"/>
    <col width="42" customWidth="1" min="28" max="28"/>
    <col width="42" customWidth="1" min="29" max="29"/>
  </cols>
  <sheetData>
    <row r="1" ht="32" customHeight="1">
      <c r="A1" s="7" t="inlineStr">
        <is>
          <t>POA&amp;M ID</t>
        </is>
      </c>
      <c r="B1" s="7" t="inlineStr">
        <is>
          <t>Related Finding</t>
        </is>
      </c>
      <c r="C1" s="7" t="inlineStr">
        <is>
          <t>Related Control</t>
        </is>
      </c>
      <c r="D1" s="7" t="inlineStr">
        <is>
          <t>Related Risk</t>
        </is>
      </c>
      <c r="E1" s="7" t="inlineStr">
        <is>
          <t>Weakness</t>
        </is>
      </c>
      <c r="F1" s="7" t="inlineStr">
        <is>
          <t>Root Cause</t>
        </is>
      </c>
      <c r="G1" s="7" t="inlineStr">
        <is>
          <t>Severity</t>
        </is>
      </c>
      <c r="H1" s="7" t="inlineStr">
        <is>
          <t>Corrective Action</t>
        </is>
      </c>
      <c r="I1" s="7" t="inlineStr">
        <is>
          <t>Milestones</t>
        </is>
      </c>
      <c r="J1" s="7" t="inlineStr">
        <is>
          <t>Owner</t>
        </is>
      </c>
      <c r="K1" s="7" t="inlineStr">
        <is>
          <t>Resources Required</t>
        </is>
      </c>
      <c r="L1" s="7" t="inlineStr">
        <is>
          <t>Open Date</t>
        </is>
      </c>
      <c r="M1" s="7" t="inlineStr">
        <is>
          <t>SLA Date</t>
        </is>
      </c>
      <c r="N1" s="7" t="inlineStr">
        <is>
          <t>Original Target Date</t>
        </is>
      </c>
      <c r="O1" s="7" t="inlineStr">
        <is>
          <t>Current Target Date</t>
        </is>
      </c>
      <c r="P1" s="7" t="inlineStr">
        <is>
          <t>Target Change Reason</t>
        </is>
      </c>
      <c r="Q1" s="7" t="inlineStr">
        <is>
          <t>Current Status</t>
        </is>
      </c>
      <c r="R1" s="7" t="inlineStr">
        <is>
          <t>Percent Complete</t>
        </is>
      </c>
      <c r="S1" s="7" t="inlineStr">
        <is>
          <t>Days Open</t>
        </is>
      </c>
      <c r="T1" s="7" t="inlineStr">
        <is>
          <t>Overdue?</t>
        </is>
      </c>
      <c r="U1" s="7" t="inlineStr">
        <is>
          <t>Slipped?</t>
        </is>
      </c>
      <c r="V1" s="7" t="inlineStr">
        <is>
          <t>Target Within SLA?</t>
        </is>
      </c>
      <c r="W1" s="7" t="inlineStr">
        <is>
          <t>Dependencies</t>
        </is>
      </c>
      <c r="X1" s="7" t="inlineStr">
        <is>
          <t>Validation Method</t>
        </is>
      </c>
      <c r="Y1" s="7" t="inlineStr">
        <is>
          <t>Closure Evidence</t>
        </is>
      </c>
      <c r="Z1" s="7" t="inlineStr">
        <is>
          <t>Validated By</t>
        </is>
      </c>
      <c r="AA1" s="7" t="inlineStr">
        <is>
          <t>Closure Date</t>
        </is>
      </c>
      <c r="AB1" s="7" t="inlineStr">
        <is>
          <t>Residual Risk</t>
        </is>
      </c>
      <c r="AC1" s="7" t="inlineStr">
        <is>
          <t>Notes</t>
        </is>
      </c>
    </row>
    <row r="2">
      <c r="A2" s="8" t="inlineStr">
        <is>
          <t>POAM-001</t>
        </is>
      </c>
      <c r="B2" s="8" t="inlineStr">
        <is>
          <t>FIND-001</t>
        </is>
      </c>
      <c r="C2" s="8" t="inlineStr">
        <is>
          <t>AC-2(3); AC-2; AC-2(1); PS-4; PS-7</t>
        </is>
      </c>
      <c r="D2" s="8" t="inlineStr">
        <is>
          <t>RISK-002</t>
        </is>
      </c>
      <c r="E2" s="9" t="inlineStr">
        <is>
          <t>Terminated workforce retained active access (SSO, local AWS IAM, vendor portal)</t>
        </is>
      </c>
      <c r="F2" s="9" t="inlineStr">
        <is>
          <t>Manual HR-email-to-IT ticketing with no automated trigger; local accounts not in offboarding checklist; contractor end dates not enforced</t>
        </is>
      </c>
      <c r="G2" s="8" t="inlineStr">
        <is>
          <t>High</t>
        </is>
      </c>
      <c r="H2" s="9" t="inlineStr">
        <is>
          <t>Disable identified accounts; implement daily HR-to-Okta/AWS/portal reconciliation with auto-ticketing; update SOP-IAM-02 with a local-account checklist and 24h SLA</t>
        </is>
      </c>
      <c r="I2" s="9" t="inlineStr">
        <is>
          <t>M1 Disable 4 identified accounts (AR-EX-01..04); investigate post-termination sign-in (INC-2026-0117) (due 2026-07-10; Done) | M2 Deploy daily HR-to-Okta/AWS IAM/portal reconciliation job with auto-ticketing (due 2026-08-21; Done) | M3 Update SOP-IAM-02 (24h SLA, local-account checklist, vendor portals); train IT (due 2026-08-28; Done) | M4 Assessor validation: re-perform termination test on all terminations since 2026-07-01 + 5 job runs (due 2026-09-11; Done)</t>
        </is>
      </c>
      <c r="J2" s="8" t="inlineStr">
        <is>
          <t>Nadia Rahman (IAM Engineer)</t>
        </is>
      </c>
      <c r="K2" s="9" t="inlineStr">
        <is>
          <t>IAM Engineer (about 60h); Okta Workflows (existing license); HR ops (4h)</t>
        </is>
      </c>
      <c r="L2" s="10" t="n">
        <v>46241</v>
      </c>
      <c r="M2" s="10">
        <f>L2+IF(G2="Critical",30,IF(G2="High",90,IF(G2="Moderate",180,365)))</f>
        <v/>
      </c>
      <c r="N2" s="10" t="n">
        <v>46276</v>
      </c>
      <c r="O2" s="10" t="n">
        <v>46276</v>
      </c>
      <c r="P2" s="9" t="inlineStr"/>
      <c r="Q2" s="8" t="inlineStr">
        <is>
          <t>Closed</t>
        </is>
      </c>
      <c r="R2" s="11">
        <f>IFERROR(COUNTIFS(Milestones!$A:$A,A2,Milestones!$E:$E,"Done")/COUNTIF(Milestones!$A:$A,A2),0)</f>
        <v/>
      </c>
      <c r="S2" s="8">
        <f>IF(Q2="Closed",AA2-L2,README!$B$4-L2)</f>
        <v/>
      </c>
      <c r="T2" s="8">
        <f>IF(AND(Q2&lt;&gt;"Closed",Q2&lt;&gt;"Risk Accepted",O2&lt;README!$B$4),"Yes","No")</f>
        <v/>
      </c>
      <c r="U2" s="8">
        <f>IF(O2&lt;&gt;N2,"Yes","No")</f>
        <v/>
      </c>
      <c r="V2" s="8">
        <f>IF(Q2="Risk Accepted","n/a (acceptance expiry)",IF(O2&lt;=M2,"Yes","No"))</f>
        <v/>
      </c>
      <c r="W2" s="9" t="inlineStr">
        <is>
          <t>Okta Workflows connector to PeopleHub</t>
        </is>
      </c>
      <c r="X2" s="9" t="inlineStr">
        <is>
          <t>Re-performance: tools/assessment_tests.py termination-validation (7 of 7 within 24h, 0 job exceptions); inspection of IAM credential report (break-glass only)</t>
        </is>
      </c>
      <c r="Y2" s="8" t="inlineStr">
        <is>
          <t>EVID-061; EVID-062; EVID-064; EVID-078</t>
        </is>
      </c>
      <c r="Z2" s="8" t="inlineStr">
        <is>
          <t>Lead assessor</t>
        </is>
      </c>
      <c r="AA2" s="10" t="n">
        <v>46275</v>
      </c>
      <c r="AB2" s="9" t="inlineStr">
        <is>
          <t>Moderate (RISK-002 residual L2 x I4 = 8)</t>
        </is>
      </c>
      <c r="AC2" s="9" t="inlineStr">
        <is>
          <t>Operating sample is small (7); full re-test scheduled for FY27.</t>
        </is>
      </c>
    </row>
    <row r="3">
      <c r="A3" s="8" t="inlineStr">
        <is>
          <t>POAM-002</t>
        </is>
      </c>
      <c r="B3" s="8" t="inlineStr">
        <is>
          <t>FIND-002</t>
        </is>
      </c>
      <c r="C3" s="8" t="inlineStr">
        <is>
          <t>IA-2(1); IA-2(2)</t>
        </is>
      </c>
      <c r="D3" s="8" t="inlineStr">
        <is>
          <t>RISK-003</t>
        </is>
      </c>
      <c r="E3" s="9" t="inlineStr">
        <is>
          <t>MFA exemption group and AWS IAM user without MFA</t>
        </is>
      </c>
      <c r="F3" s="9" t="inlineStr">
        <is>
          <t>Exceptions granted without workflow, expiry, or review; legacy IAM users bypass Okta policy</t>
        </is>
      </c>
      <c r="G3" s="8" t="inlineStr">
        <is>
          <t>High</t>
        </is>
      </c>
      <c r="H3" s="9" t="inlineStr">
        <is>
          <t>Delete exemption policy and group; enroll all members (hardware key accommodation); convert service users to integrations; require phishing-resistant MFA for admin apps; delete non-break-glass IAM users; add time-bound exception workflow</t>
        </is>
      </c>
      <c r="I3" s="9" t="inlineStr">
        <is>
          <t>M1 Enroll 9 human members in MFA (accommodation for 1) (due 2026-08-28; Done) | M2 Convert svc-vulnscan and svc-confroom to non-interactive integrations (due 2026-08-28; Done) | M3 Delete Legacy Exemption Policy and group; phishing-resistant policy on admin apps (CHG-2026-0731) (due 2026-09-01; Done) | M4 Assessor validation: policy export, group lookup, password-only sign-in attempt, IAM credential report (due 2026-09-05; Done)</t>
        </is>
      </c>
      <c r="J3" s="8" t="inlineStr">
        <is>
          <t>Nadia Rahman (IAM Engineer)</t>
        </is>
      </c>
      <c r="K3" s="9" t="inlineStr">
        <is>
          <t>IAM Engineer (about 30h); 12 FIDO2 keys (about $600)</t>
        </is>
      </c>
      <c r="L3" s="10" t="n">
        <v>46241</v>
      </c>
      <c r="M3" s="10">
        <f>L3+IF(G3="Critical",30,IF(G3="High",90,IF(G3="Moderate",180,365)))</f>
        <v/>
      </c>
      <c r="N3" s="10" t="n">
        <v>46270</v>
      </c>
      <c r="O3" s="10" t="n">
        <v>46270</v>
      </c>
      <c r="P3" s="9" t="inlineStr"/>
      <c r="Q3" s="8" t="inlineStr">
        <is>
          <t>Closed</t>
        </is>
      </c>
      <c r="R3" s="11">
        <f>IFERROR(COUNTIFS(Milestones!$A:$A,A3,Milestones!$E:$E,"Done")/COUNTIF(Milestones!$A:$A,A3),0)</f>
        <v/>
      </c>
      <c r="S3" s="8">
        <f>IF(Q3="Closed",AA3-L3,README!$B$4-L3)</f>
        <v/>
      </c>
      <c r="T3" s="8">
        <f>IF(AND(Q3&lt;&gt;"Closed",Q3&lt;&gt;"Risk Accepted",O3&lt;README!$B$4),"Yes","No")</f>
        <v/>
      </c>
      <c r="U3" s="8">
        <f>IF(O3&lt;&gt;N3,"Yes","No")</f>
        <v/>
      </c>
      <c r="V3" s="8">
        <f>IF(Q3="Risk Accepted","n/a (acceptance expiry)",IF(O3&lt;=M3,"Yes","No"))</f>
        <v/>
      </c>
      <c r="W3" s="9" t="inlineStr">
        <is>
          <t>Hardware key delivery for accessibility accommodation</t>
        </is>
      </c>
      <c r="X3" s="9" t="inlineStr">
        <is>
          <t>Inspection of Okta policy export and IAM credential report; re-performance of password-only sign-in with a test account (denied)</t>
        </is>
      </c>
      <c r="Y3" s="8" t="inlineStr">
        <is>
          <t>EVID-063; EVID-064</t>
        </is>
      </c>
      <c r="Z3" s="8" t="inlineStr">
        <is>
          <t>Lead assessor</t>
        </is>
      </c>
      <c r="AA3" s="10" t="n">
        <v>46270</v>
      </c>
      <c r="AB3" s="9" t="inlineStr">
        <is>
          <t>Moderate (RISK-003 residual L2 x I4 = 8)</t>
        </is>
      </c>
      <c r="AC3" s="9" t="inlineStr"/>
    </row>
    <row r="4">
      <c r="A4" s="8" t="inlineStr">
        <is>
          <t>POAM-003</t>
        </is>
      </c>
      <c r="B4" s="8" t="inlineStr">
        <is>
          <t>FIND-003</t>
        </is>
      </c>
      <c r="C4" s="8" t="inlineStr">
        <is>
          <t>AC-6(5); AC-6; AC-6(2)</t>
        </is>
      </c>
      <c r="D4" s="8" t="inlineStr">
        <is>
          <t>RISK-001</t>
        </is>
      </c>
      <c r="E4" s="9" t="inlineStr">
        <is>
          <t>Excessive privileged access; administration from daily-use accounts</t>
        </is>
      </c>
      <c r="F4" s="9" t="inlineStr">
        <is>
          <t>Privileged grants without expiry; no privileged-access review before 2026; separate-admin policy never rolled out</t>
        </is>
      </c>
      <c r="G4" s="8" t="inlineStr">
        <is>
          <t>High</t>
        </is>
      </c>
      <c r="H4" s="9" t="inlineStr">
        <is>
          <t>Remove excess grants; issue -adm accounts with phishing-resistant MFA; implement approval-gated JIT elevation for AWS admin; enforce GitHub owner cap</t>
        </is>
      </c>
      <c r="I4" s="9" t="inlineStr">
        <is>
          <t>M1 Remove excess grants: AR-EX-05/06/07/08/09 (due 2026-08-21; Done) | M2 Issue -adm accounts for remaining admins; remove admin from daily accounts (AR-EX-10) (due 2026-09-30; In Progress) | M3 Implement JIT elevation (approval + 4h auto-expiry) for AWS AdministratorAccess (due 2026-10-23; In Progress) | M4 Assessor validation: assignment export + live elevation record with CloudTrail evidence (due 2026-11-05; Not Started)</t>
        </is>
      </c>
      <c r="J4" s="8" t="inlineStr">
        <is>
          <t>Tomasz Wierzbicki (Director, Platform Engineering)</t>
        </is>
      </c>
      <c r="K4" s="9" t="inlineStr">
        <is>
          <t>SRE (about 80h); IAM Engineer (about 20h)</t>
        </is>
      </c>
      <c r="L4" s="10" t="n">
        <v>46241</v>
      </c>
      <c r="M4" s="10">
        <f>L4+IF(G4="Critical",30,IF(G4="High",90,IF(G4="Moderate",180,365)))</f>
        <v/>
      </c>
      <c r="N4" s="10" t="n">
        <v>46331</v>
      </c>
      <c r="O4" s="10" t="n">
        <v>46331</v>
      </c>
      <c r="P4" s="9" t="inlineStr"/>
      <c r="Q4" s="8" t="inlineStr">
        <is>
          <t>In Progress</t>
        </is>
      </c>
      <c r="R4" s="11">
        <f>IFERROR(COUNTIFS(Milestones!$A:$A,A4,Milestones!$E:$E,"Done")/COUNTIF(Milestones!$A:$A,A4),0)</f>
        <v/>
      </c>
      <c r="S4" s="8">
        <f>IF(Q4="Closed",AA4-L4,README!$B$4-L4)</f>
        <v/>
      </c>
      <c r="T4" s="8">
        <f>IF(AND(Q4&lt;&gt;"Closed",Q4&lt;&gt;"Risk Accepted",O4&lt;README!$B$4),"Yes","No")</f>
        <v/>
      </c>
      <c r="U4" s="8">
        <f>IF(O4&lt;&gt;N4,"Yes","No")</f>
        <v/>
      </c>
      <c r="V4" s="8">
        <f>IF(Q4="Risk Accepted","n/a (acceptance expiry)",IF(O4&lt;=M4,"Yes","No"))</f>
        <v/>
      </c>
      <c r="W4" s="9" t="inlineStr">
        <is>
          <t>IAM Identity Center permission-set redesign; EVID-071 returned as Rework Required (design-only evidence)</t>
        </is>
      </c>
      <c r="X4" s="9" t="inlineStr">
        <is>
          <t>Inspection of Identity Center/GitHub/Okta admin exports; re-performance: request and observe a JIT elevation, confirm auto-expiry in CloudTrail</t>
        </is>
      </c>
      <c r="Y4" s="8" t="inlineStr">
        <is>
          <t>EVID-075; EVID-076; EVID-077; EVID-071</t>
        </is>
      </c>
      <c r="Z4" s="8" t="inlineStr"/>
      <c r="AA4" s="10" t="n"/>
      <c r="AB4" s="9" t="inlineStr">
        <is>
          <t>Moderate target (RISK-001 residual L2 x I4 = 8); currently High</t>
        </is>
      </c>
      <c r="AC4" s="9" t="inlineStr">
        <is>
          <t>Evidence EVID-071 rejected: a screenshot of an approval screen shows the design, not that elevation operates.</t>
        </is>
      </c>
    </row>
    <row r="5">
      <c r="A5" s="8" t="inlineStr">
        <is>
          <t>POAM-004</t>
        </is>
      </c>
      <c r="B5" s="8" t="inlineStr">
        <is>
          <t>FIND-004</t>
        </is>
      </c>
      <c r="C5" s="8" t="inlineStr">
        <is>
          <t>AC-6(7); AC-2; PS-5</t>
        </is>
      </c>
      <c r="D5" s="8" t="inlineStr">
        <is>
          <t>RISK-004</t>
        </is>
      </c>
      <c r="E5" s="9" t="inlineStr">
        <is>
          <t>Access recertification incomplete in scope and ineffective in operation</t>
        </is>
      </c>
      <c r="F5" s="9" t="inlineStr">
        <is>
          <t>Campaign scope limited to Okta app assignments; no usage data or risk flags for reviewers; no transfer trigger</t>
        </is>
      </c>
      <c r="G5" s="8" t="inlineStr">
        <is>
          <t>Moderate</t>
        </is>
      </c>
      <c r="H5" s="9" t="inlineStr">
        <is>
          <t>Redesign certification to cover all privileged and PHI entitlements on 9 systems with usage and baseline flags; require rationale for approving flagged items; transfer-triggered re-certification</t>
        </is>
      </c>
      <c r="I5" s="9" t="inlineStr">
        <is>
          <t>M1 Revoke duplicate, transferred, and inactive access (AR-EX-12/13/14) (due 2026-07-17; Done) | M2 Add transfer trigger to SOP-IAM-02 (re-baseline access within 5 business days) (due 2026-08-28; Done) | M3 Run Q3 privileged certification on new design (EVID-074) (due 2026-09-30; In Progress) | M4 Assessor validation: review Q3 campaign decisions for flagged items and rationale quality (due 2026-10-31; Not Started)</t>
        </is>
      </c>
      <c r="J5" s="8" t="inlineStr">
        <is>
          <t>Alicia Moreno (CISO)</t>
        </is>
      </c>
      <c r="K5" s="9" t="inlineStr">
        <is>
          <t>GRC Manager (about 40h); IAM Engineer (about 30h); review_engine.py reused as the flagging logic</t>
        </is>
      </c>
      <c r="L5" s="10" t="n">
        <v>46241</v>
      </c>
      <c r="M5" s="10">
        <f>L5+IF(G5="Critical",30,IF(G5="High",90,IF(G5="Moderate",180,365)))</f>
        <v/>
      </c>
      <c r="N5" s="10" t="n">
        <v>46326</v>
      </c>
      <c r="O5" s="10" t="n">
        <v>46326</v>
      </c>
      <c r="P5" s="9" t="inlineStr"/>
      <c r="Q5" s="8" t="inlineStr">
        <is>
          <t>In Progress</t>
        </is>
      </c>
      <c r="R5" s="11">
        <f>IFERROR(COUNTIFS(Milestones!$A:$A,A5,Milestones!$E:$E,"Done")/COUNTIF(Milestones!$A:$A,A5),0)</f>
        <v/>
      </c>
      <c r="S5" s="8">
        <f>IF(Q5="Closed",AA5-L5,README!$B$4-L5)</f>
        <v/>
      </c>
      <c r="T5" s="8">
        <f>IF(AND(Q5&lt;&gt;"Closed",Q5&lt;&gt;"Risk Accepted",O5&lt;README!$B$4),"Yes","No")</f>
        <v/>
      </c>
      <c r="U5" s="8">
        <f>IF(O5&lt;&gt;N5,"Yes","No")</f>
        <v/>
      </c>
      <c r="V5" s="8">
        <f>IF(Q5="Risk Accepted","n/a (acceptance expiry)",IF(O5&lt;=M5,"Yes","No"))</f>
        <v/>
      </c>
      <c r="W5" s="9" t="inlineStr">
        <is>
          <t>Q3 campaign completion by reviewers</t>
        </is>
      </c>
      <c r="X5" s="9" t="inlineStr">
        <is>
          <t>Inspection of campaign export (population completeness vs entitlement exports; % flagged items with rationale; removals actioned)</t>
        </is>
      </c>
      <c r="Y5" s="8" t="inlineStr">
        <is>
          <t>EVID-061; EVID-074</t>
        </is>
      </c>
      <c r="Z5" s="8" t="inlineStr"/>
      <c r="AA5" s="10" t="n"/>
      <c r="AB5" s="9" t="inlineStr">
        <is>
          <t>Moderate (RISK-004 residual L2 x I3 = 6)</t>
        </is>
      </c>
      <c r="AC5" s="9" t="inlineStr"/>
    </row>
    <row r="6">
      <c r="A6" s="8" t="inlineStr">
        <is>
          <t>POAM-005</t>
        </is>
      </c>
      <c r="B6" s="8" t="inlineStr">
        <is>
          <t>FIND-005</t>
        </is>
      </c>
      <c r="C6" s="8" t="inlineStr">
        <is>
          <t>IA-5; AC-2</t>
        </is>
      </c>
      <c r="D6" s="8" t="inlineStr">
        <is>
          <t>RISK-017</t>
        </is>
      </c>
      <c r="E6" s="9" t="inlineStr">
        <is>
          <t>Service/shared accounts without owners, stale credentials, shared vendor login</t>
        </is>
      </c>
      <c r="F6" s="9" t="inlineStr">
        <is>
          <t>Service register lacked owner/rotation fields; vendor access set up for convenience</t>
        </is>
      </c>
      <c r="G6" s="8" t="inlineStr">
        <is>
          <t>Moderate</t>
        </is>
      </c>
      <c r="H6" s="9" t="inlineStr">
        <is>
          <t>Assign owners; rotate or federate stale credentials; named federated accounts for MDR analysts; add owner/rotation fields and quarterly attestation to the register</t>
        </is>
      </c>
      <c r="I6" s="9" t="inlineStr">
        <is>
          <t>M1 Assign owners to all 13 non-human accounts; add fields to register (due 2026-08-21; Done) | M2 Rotate svc-quarrystone-sftp key (AR-EX-18) (due 2026-08-28; Done) | M3 Replace ironpeak-soc shared login with 6 named federated accounts (AR-EX-20) (due 2026-09-04; Done) | M4 Migrate svc-reporting-etl to IAM role; delete IAM user (AR-EX-19) (due 2026-09-11; Done) | M5 Assessor validation: register re-test (owner + credential age) and IAM credential report (due 2026-09-12; Done)</t>
        </is>
      </c>
      <c r="J6" s="8" t="inlineStr">
        <is>
          <t>Nadia Rahman (IAM Engineer)</t>
        </is>
      </c>
      <c r="K6" s="9" t="inlineStr">
        <is>
          <t>IAM Engineer (about 20h); SRE (about 16h)</t>
        </is>
      </c>
      <c r="L6" s="10" t="n">
        <v>46241</v>
      </c>
      <c r="M6" s="10">
        <f>L6+IF(G6="Critical",30,IF(G6="High",90,IF(G6="Moderate",180,365)))</f>
        <v/>
      </c>
      <c r="N6" s="10" t="n">
        <v>46277</v>
      </c>
      <c r="O6" s="10" t="n">
        <v>46277</v>
      </c>
      <c r="P6" s="9" t="inlineStr"/>
      <c r="Q6" s="8" t="inlineStr">
        <is>
          <t>Closed</t>
        </is>
      </c>
      <c r="R6" s="11">
        <f>IFERROR(COUNTIFS(Milestones!$A:$A,A6,Milestones!$E:$E,"Done")/COUNTIF(Milestones!$A:$A,A6),0)</f>
        <v/>
      </c>
      <c r="S6" s="8">
        <f>IF(Q6="Closed",AA6-L6,README!$B$4-L6)</f>
        <v/>
      </c>
      <c r="T6" s="8">
        <f>IF(AND(Q6&lt;&gt;"Closed",Q6&lt;&gt;"Risk Accepted",O6&lt;README!$B$4),"Yes","No")</f>
        <v/>
      </c>
      <c r="U6" s="8">
        <f>IF(O6&lt;&gt;N6,"Yes","No")</f>
        <v/>
      </c>
      <c r="V6" s="8">
        <f>IF(Q6="Risk Accepted","n/a (acceptance expiry)",IF(O6&lt;=M6,"Yes","No"))</f>
        <v/>
      </c>
      <c r="W6" s="9" t="inlineStr">
        <is>
          <t>Ironpeak MDR SSO onboarding</t>
        </is>
      </c>
      <c r="X6" s="9" t="inlineStr">
        <is>
          <t>Re-performance of the review engine's service-account checks on the updated register; inspection of EDR console user list (no shared logins)</t>
        </is>
      </c>
      <c r="Y6" s="8" t="inlineStr">
        <is>
          <t>EVID-065; EVID-064</t>
        </is>
      </c>
      <c r="Z6" s="8" t="inlineStr">
        <is>
          <t>Lead assessor</t>
        </is>
      </c>
      <c r="AA6" s="10" t="n">
        <v>46277</v>
      </c>
      <c r="AB6" s="9" t="inlineStr">
        <is>
          <t>Low (RISK-017 residual L1 x I4 = 4)</t>
        </is>
      </c>
      <c r="AC6" s="9" t="inlineStr"/>
    </row>
    <row r="7">
      <c r="A7" s="8" t="inlineStr">
        <is>
          <t>POAM-006</t>
        </is>
      </c>
      <c r="B7" s="8" t="inlineStr">
        <is>
          <t>FIND-006</t>
        </is>
      </c>
      <c r="C7" s="8" t="inlineStr">
        <is>
          <t>PS-7; AC-2</t>
        </is>
      </c>
      <c r="D7" s="8" t="inlineStr">
        <is>
          <t>RISK-002; RISK-004</t>
        </is>
      </c>
      <c r="E7" s="9" t="inlineStr">
        <is>
          <t>Contractor access not bound to engagement term and scope</t>
        </is>
      </c>
      <c r="F7" s="9" t="inlineStr">
        <is>
          <t>Contract end dates not enforced in Okta; access requests not checked against SOW scope</t>
        </is>
      </c>
      <c r="G7" s="8" t="inlineStr">
        <is>
          <t>Moderate</t>
        </is>
      </c>
      <c r="H7" s="9" t="inlineStr">
        <is>
          <t>Okta account expiry = SOW end date for all contractors; SOW scope required on contractor access requests; monthly contractor roster to sponsors</t>
        </is>
      </c>
      <c r="I7" s="9" t="inlineStr">
        <is>
          <t>M1 Execute SOW amendment for awu; revoke out-of-scope PHI access (AR-EX-15/16) (due 2026-07-24; Done) | M2 Set Okta expiry for all contractor accounts; add SOW-scope field to access request form (due 2026-08-28; Done) | M3 Assessor validation: expiry report vs SOW register (due 2026-09-10; Done)</t>
        </is>
      </c>
      <c r="J7" s="8" t="inlineStr">
        <is>
          <t>Sofia Ricci (Engineering Manager)</t>
        </is>
      </c>
      <c r="K7" s="9" t="inlineStr">
        <is>
          <t>IAM Engineer (about 8h); Vendor Mgmt (about 4h)</t>
        </is>
      </c>
      <c r="L7" s="10" t="n">
        <v>46241</v>
      </c>
      <c r="M7" s="10">
        <f>L7+IF(G7="Critical",30,IF(G7="High",90,IF(G7="Moderate",180,365)))</f>
        <v/>
      </c>
      <c r="N7" s="10" t="n">
        <v>46275</v>
      </c>
      <c r="O7" s="10" t="n">
        <v>46275</v>
      </c>
      <c r="P7" s="9" t="inlineStr"/>
      <c r="Q7" s="8" t="inlineStr">
        <is>
          <t>Closed</t>
        </is>
      </c>
      <c r="R7" s="11">
        <f>IFERROR(COUNTIFS(Milestones!$A:$A,A7,Milestones!$E:$E,"Done")/COUNTIF(Milestones!$A:$A,A7),0)</f>
        <v/>
      </c>
      <c r="S7" s="8">
        <f>IF(Q7="Closed",AA7-L7,README!$B$4-L7)</f>
        <v/>
      </c>
      <c r="T7" s="8">
        <f>IF(AND(Q7&lt;&gt;"Closed",Q7&lt;&gt;"Risk Accepted",O7&lt;README!$B$4),"Yes","No")</f>
        <v/>
      </c>
      <c r="U7" s="8">
        <f>IF(O7&lt;&gt;N7,"Yes","No")</f>
        <v/>
      </c>
      <c r="V7" s="8">
        <f>IF(Q7="Risk Accepted","n/a (acceptance expiry)",IF(O7&lt;=M7,"Yes","No"))</f>
        <v/>
      </c>
      <c r="W7" s="9" t="inlineStr"/>
      <c r="X7" s="9" t="inlineStr">
        <is>
          <t>Inspection: Okta expiry dates reconciled to SOW register for all active contractors (29 of 29)</t>
        </is>
      </c>
      <c r="Y7" s="8" t="inlineStr">
        <is>
          <t>EVID-066</t>
        </is>
      </c>
      <c r="Z7" s="8" t="inlineStr">
        <is>
          <t>Lead assessor</t>
        </is>
      </c>
      <c r="AA7" s="10" t="n">
        <v>46275</v>
      </c>
      <c r="AB7" s="9" t="inlineStr">
        <is>
          <t>Moderate (RISK-002 residual)</t>
        </is>
      </c>
      <c r="AC7" s="9" t="inlineStr"/>
    </row>
    <row r="8">
      <c r="A8" s="8" t="inlineStr">
        <is>
          <t>POAM-007</t>
        </is>
      </c>
      <c r="B8" s="8" t="inlineStr">
        <is>
          <t>FIND-007</t>
        </is>
      </c>
      <c r="C8" s="8" t="inlineStr">
        <is>
          <t>AC-5</t>
        </is>
      </c>
      <c r="D8" s="8" t="inlineStr">
        <is>
          <t>RISK-013</t>
        </is>
      </c>
      <c r="E8" s="9" t="inlineStr">
        <is>
          <t>SoD conflict (vendor master + payment approval)</t>
        </is>
      </c>
      <c r="F8" s="9" t="inlineStr">
        <is>
          <t>Finance team reduced to 3 after AP departure</t>
        </is>
      </c>
      <c r="G8" s="8" t="inlineStr">
        <is>
          <t>Moderate</t>
        </is>
      </c>
      <c r="H8" s="9" t="inlineStr">
        <is>
          <t>Formal risk acceptance (RACC-001) with compensating monthly independent review; split roles when AP role is backfilled</t>
        </is>
      </c>
      <c r="I8" s="9" t="inlineStr">
        <is>
          <t>M1 Sign RACC-001 (CFO as risk owner; CISO concurrence) (due 2026-08-14; Done) | M2 Continue monthly compensating review (evidence each month to GRC) (due 2027-03-31; In Progress) | M3 Split roles at AP backfill (requisition open) (due 2027-03-31; Not Started)</t>
        </is>
      </c>
      <c r="J8" s="8" t="inlineStr">
        <is>
          <t>Laura Brenneman (Controller)</t>
        </is>
      </c>
      <c r="K8" s="9" t="inlineStr">
        <is>
          <t>Controller (2h/month for compensating review)</t>
        </is>
      </c>
      <c r="L8" s="10" t="n">
        <v>46241</v>
      </c>
      <c r="M8" s="10">
        <f>L8+IF(G8="Critical",30,IF(G8="High",90,IF(G8="Moderate",180,365)))</f>
        <v/>
      </c>
      <c r="N8" s="10" t="n">
        <v>46477</v>
      </c>
      <c r="O8" s="10" t="n">
        <v>46477</v>
      </c>
      <c r="P8" s="9" t="inlineStr"/>
      <c r="Q8" s="8" t="inlineStr">
        <is>
          <t>Risk Accepted</t>
        </is>
      </c>
      <c r="R8" s="11">
        <f>IFERROR(COUNTIFS(Milestones!$A:$A,A8,Milestones!$E:$E,"Done")/COUNTIF(Milestones!$A:$A,A8),0)</f>
        <v/>
      </c>
      <c r="S8" s="8">
        <f>IF(Q8="Closed",AA8-L8,README!$B$4-L8)</f>
        <v/>
      </c>
      <c r="T8" s="8">
        <f>IF(AND(Q8&lt;&gt;"Closed",Q8&lt;&gt;"Risk Accepted",O8&lt;README!$B$4),"Yes","No")</f>
        <v/>
      </c>
      <c r="U8" s="8">
        <f>IF(O8&lt;&gt;N8,"Yes","No")</f>
        <v/>
      </c>
      <c r="V8" s="8">
        <f>IF(Q8="Risk Accepted","n/a (acceptance expiry)",IF(O8&lt;=M8,"Yes","No"))</f>
        <v/>
      </c>
      <c r="W8" s="9" t="inlineStr">
        <is>
          <t>AP Specialist hire</t>
        </is>
      </c>
      <c r="X8" s="9" t="inlineStr">
        <is>
          <t>Monthly: GRC inspects signed vendor-master change report; at expiry: re-test role assignments</t>
        </is>
      </c>
      <c r="Y8" s="8" t="inlineStr">
        <is>
          <t>EVID-060; EVID-015</t>
        </is>
      </c>
      <c r="Z8" s="8" t="inlineStr"/>
      <c r="AA8" s="10" t="n"/>
      <c r="AB8" s="9" t="inlineStr">
        <is>
          <t>Moderate, accepted (RISK-013 residual L2 x I3 = 6)</t>
        </is>
      </c>
      <c r="AC8" s="9" t="inlineStr">
        <is>
          <t>Accepted risks stay on the POA&amp;M until expiry so they are re-decided, not forgotten.</t>
        </is>
      </c>
    </row>
    <row r="9">
      <c r="A9" s="8" t="inlineStr">
        <is>
          <t>POAM-008</t>
        </is>
      </c>
      <c r="B9" s="8" t="inlineStr">
        <is>
          <t>FIND-008</t>
        </is>
      </c>
      <c r="C9" s="8" t="inlineStr">
        <is>
          <t>AU-11</t>
        </is>
      </c>
      <c r="D9" s="8" t="inlineStr">
        <is>
          <t>RISK-005</t>
        </is>
      </c>
      <c r="E9" s="9" t="inlineStr">
        <is>
          <t>Audit log retention below 12-month requirement</t>
        </is>
      </c>
      <c r="F9" s="9" t="inlineStr">
        <is>
          <t>2022 cost-driven retention settings never revisited after contractual requirements emerged</t>
        </is>
      </c>
      <c r="G9" s="8" t="inlineStr">
        <is>
          <t>Moderate</t>
        </is>
      </c>
      <c r="H9" s="9" t="inlineStr">
        <is>
          <t>400-day lifecycle with tiering (hot 90d searchable); archive application audit logs to log-archive; quarterly oldest-record check</t>
        </is>
      </c>
      <c r="I9" s="9" t="inlineStr">
        <is>
          <t>M1 Change S3 lifecycle to 400-day expiry with Glacier IR after 90d (CHG-2026-0702) (due 2026-08-21; Done) | M2 Subscribe app-audit CloudWatch logs to log-archive (Firehose) (due 2026-08-28; Done) | M3 Assessor validation: config inspection + oldest-object query (due 2026-09-15; Done)</t>
        </is>
      </c>
      <c r="J9" s="8" t="inlineStr">
        <is>
          <t>Owen Castillo (Security Engineer)</t>
        </is>
      </c>
      <c r="K9" s="9" t="inlineStr">
        <is>
          <t>Security Engineer (about 16h); storage cost about $180/month</t>
        </is>
      </c>
      <c r="L9" s="10" t="n">
        <v>46241</v>
      </c>
      <c r="M9" s="10">
        <f>L9+IF(G9="Critical",30,IF(G9="High",90,IF(G9="Moderate",180,365)))</f>
        <v/>
      </c>
      <c r="N9" s="10" t="n">
        <v>46280</v>
      </c>
      <c r="O9" s="10" t="n">
        <v>46280</v>
      </c>
      <c r="P9" s="9" t="inlineStr"/>
      <c r="Q9" s="8" t="inlineStr">
        <is>
          <t>Closed</t>
        </is>
      </c>
      <c r="R9" s="11">
        <f>IFERROR(COUNTIFS(Milestones!$A:$A,A9,Milestones!$E:$E,"Done")/COUNTIF(Milestones!$A:$A,A9),0)</f>
        <v/>
      </c>
      <c r="S9" s="8">
        <f>IF(Q9="Closed",AA9-L9,README!$B$4-L9)</f>
        <v/>
      </c>
      <c r="T9" s="8">
        <f>IF(AND(Q9&lt;&gt;"Closed",Q9&lt;&gt;"Risk Accepted",O9&lt;README!$B$4),"Yes","No")</f>
        <v/>
      </c>
      <c r="U9" s="8">
        <f>IF(O9&lt;&gt;N9,"Yes","No")</f>
        <v/>
      </c>
      <c r="V9" s="8">
        <f>IF(Q9="Risk Accepted","n/a (acceptance expiry)",IF(O9&lt;=M9,"Yes","No"))</f>
        <v/>
      </c>
      <c r="W9" s="9" t="inlineStr"/>
      <c r="X9" s="9" t="inlineStr">
        <is>
          <t>Inspection of lifecycle/subscription config; test: oldest CloudTrail object (2026-03-20, 182 days) still present after old 180-day rule would have expired it</t>
        </is>
      </c>
      <c r="Y9" s="8" t="inlineStr">
        <is>
          <t>EVID-067</t>
        </is>
      </c>
      <c r="Z9" s="8" t="inlineStr">
        <is>
          <t>Lead assessor</t>
        </is>
      </c>
      <c r="AA9" s="10" t="n">
        <v>46280</v>
      </c>
      <c r="AB9" s="9" t="inlineStr">
        <is>
          <t>Moderate (RISK-005 residual after POAM-009)</t>
        </is>
      </c>
      <c r="AC9" s="9" t="inlineStr">
        <is>
          <t>Full 12-month retention can only be demonstrated over time; FY27 assessment re-tests.</t>
        </is>
      </c>
    </row>
    <row r="10">
      <c r="A10" s="8" t="inlineStr">
        <is>
          <t>POAM-009</t>
        </is>
      </c>
      <c r="B10" s="8" t="inlineStr">
        <is>
          <t>FIND-009</t>
        </is>
      </c>
      <c r="C10" s="8" t="inlineStr">
        <is>
          <t>AU-6</t>
        </is>
      </c>
      <c r="D10" s="8" t="inlineStr">
        <is>
          <t>RISK-005</t>
        </is>
      </c>
      <c r="E10" s="9" t="inlineStr">
        <is>
          <t>Weekly privileged-activity review missed 7 of 26 weeks; 2 incomplete</t>
        </is>
      </c>
      <c r="F10" s="9" t="inlineStr">
        <is>
          <t>Single reviewer; no escalation; scope excluded local IAM users</t>
        </is>
      </c>
      <c r="G10" s="8" t="inlineStr">
        <is>
          <t>Moderate</t>
        </is>
      </c>
      <c r="H10" s="9" t="inlineStr">
        <is>
          <t>Backup reviewer (MDR under SOW change); auto-created weekly ticket with 5-day escalation; expand scope to all privileged principals; disposition required per flag</t>
        </is>
      </c>
      <c r="I10" s="9" t="inlineStr">
        <is>
          <t>M1 Expand SIEM report scope to all privileged principals incl. IAM users (due 2026-08-21; Done) | M2 Auto-create weekly review ticket with escalation to CISO at 5 business days (due 2026-08-28; Done) | M3 Execute MDR SOW change for backup reviewer (due 2026-09-11; Delayed) | M4 Assessor validation: W27–W37 reviews (EVID-072) (due 2026-09-15; Not Started)</t>
        </is>
      </c>
      <c r="J10" s="8" t="inlineStr">
        <is>
          <t>Owen Castillo (Security Engineer)</t>
        </is>
      </c>
      <c r="K10" s="9" t="inlineStr">
        <is>
          <t>MDR SOW change (about $1,500/month); Security Engineer (about 12h)</t>
        </is>
      </c>
      <c r="L10" s="10" t="n">
        <v>46241</v>
      </c>
      <c r="M10" s="10">
        <f>L10+IF(G10="Critical",30,IF(G10="High",90,IF(G10="Moderate",180,365)))</f>
        <v/>
      </c>
      <c r="N10" s="10" t="n">
        <v>46280</v>
      </c>
      <c r="O10" s="10" t="n">
        <v>46280</v>
      </c>
      <c r="P10" s="9" t="inlineStr"/>
      <c r="Q10" s="8" t="inlineStr">
        <is>
          <t>In Progress</t>
        </is>
      </c>
      <c r="R10" s="11">
        <f>IFERROR(COUNTIFS(Milestones!$A:$A,A10,Milestones!$E:$E,"Done")/COUNTIF(Milestones!$A:$A,A10),0)</f>
        <v/>
      </c>
      <c r="S10" s="8">
        <f>IF(Q10="Closed",AA10-L10,README!$B$4-L10)</f>
        <v/>
      </c>
      <c r="T10" s="8">
        <f>IF(AND(Q10&lt;&gt;"Closed",Q10&lt;&gt;"Risk Accepted",O10&lt;README!$B$4),"Yes","No")</f>
        <v/>
      </c>
      <c r="U10" s="8">
        <f>IF(O10&lt;&gt;N10,"Yes","No")</f>
        <v/>
      </c>
      <c r="V10" s="8">
        <f>IF(Q10="Risk Accepted","n/a (acceptance expiry)",IF(O10&lt;=M10,"Yes","No"))</f>
        <v/>
      </c>
      <c r="W10" s="9" t="inlineStr">
        <is>
          <t>Procurement approval of MDR SOW change (pending CFO signature)</t>
        </is>
      </c>
      <c r="X10" s="9" t="inlineStr">
        <is>
          <t>Test: all weeks since change performed within 5 days with dispositions; inspect escalation config</t>
        </is>
      </c>
      <c r="Y10" s="8" t="inlineStr">
        <is>
          <t>EVID-072</t>
        </is>
      </c>
      <c r="Z10" s="8" t="inlineStr"/>
      <c r="AA10" s="10" t="n"/>
      <c r="AB10" s="9" t="inlineStr">
        <is>
          <t>Moderate (RISK-005 residual L2 x I3 = 6)</t>
        </is>
      </c>
      <c r="AC10" s="9" t="inlineStr">
        <is>
          <t>Overdue since 2026-09-15; escalated to CISO 2026-09-16.</t>
        </is>
      </c>
    </row>
    <row r="11">
      <c r="A11" s="8" t="inlineStr">
        <is>
          <t>POAM-010</t>
        </is>
      </c>
      <c r="B11" s="8" t="inlineStr">
        <is>
          <t>FIND-010</t>
        </is>
      </c>
      <c r="C11" s="8" t="inlineStr">
        <is>
          <t>SI-2</t>
        </is>
      </c>
      <c r="D11" s="8" t="inlineStr">
        <is>
          <t>RISK-006</t>
        </is>
      </c>
      <c r="E11" s="9" t="inlineStr">
        <is>
          <t>23% of Critical/High vulnerabilities exceeded SLA; exception process unused</t>
        </is>
      </c>
      <c r="F11" s="9" t="inlineStr">
        <is>
          <t>End-of-life runtimes block patching; no exception discipline; SLA not visible in engineering planning; 7% untagged assets</t>
        </is>
      </c>
      <c r="G11" s="8" t="inlineStr">
        <is>
          <t>High</t>
        </is>
      </c>
      <c r="H11" s="9" t="inlineStr">
        <is>
          <t>Upgrade notify-worker runtime; file exceptions with reachability analysis where justified; SLA dashboard in sprint planning; tag-policy SCP</t>
        </is>
      </c>
      <c r="I11" s="9" t="inlineStr">
        <is>
          <t>M1 Submit VM-003 §7 exception for 2 notify-worker criticals with reachability analysis (CISO decision) (due 2026-08-21; Done) | M2 Upgrade notify-worker to supported Node.js LTS + current base image (due 2026-09-30; In Progress) | M3 SLA-breach dashboard reviewed in weekly engineering leads meeting (due 2026-09-15; Done) | M4 Tag-policy SCP denying untagged EC2/EKS launches (OBS-02) (due 2026-10-15; Not Started) | M5 Assessor validation: re-run SLA test on Q3 population (due 2026-11-05; Not Started)</t>
        </is>
      </c>
      <c r="J11" s="8" t="inlineStr">
        <is>
          <t>Grace Lindqvist (VP Engineering)</t>
        </is>
      </c>
      <c r="K11" s="9" t="inlineStr">
        <is>
          <t>Engineering (about 3 sprint-weeks); Security Engineer (about 16h)</t>
        </is>
      </c>
      <c r="L11" s="10" t="n">
        <v>46241</v>
      </c>
      <c r="M11" s="10">
        <f>L11+IF(G11="Critical",30,IF(G11="High",90,IF(G11="Moderate",180,365)))</f>
        <v/>
      </c>
      <c r="N11" s="10" t="n">
        <v>46331</v>
      </c>
      <c r="O11" s="10" t="n">
        <v>46331</v>
      </c>
      <c r="P11" s="9" t="inlineStr"/>
      <c r="Q11" s="8" t="inlineStr">
        <is>
          <t>In Progress</t>
        </is>
      </c>
      <c r="R11" s="11">
        <f>IFERROR(COUNTIFS(Milestones!$A:$A,A11,Milestones!$E:$E,"Done")/COUNTIF(Milestones!$A:$A,A11),0)</f>
        <v/>
      </c>
      <c r="S11" s="8">
        <f>IF(Q11="Closed",AA11-L11,README!$B$4-L11)</f>
        <v/>
      </c>
      <c r="T11" s="8">
        <f>IF(AND(Q11&lt;&gt;"Closed",Q11&lt;&gt;"Risk Accepted",O11&lt;README!$B$4),"Yes","No")</f>
        <v/>
      </c>
      <c r="U11" s="8">
        <f>IF(O11&lt;&gt;N11,"Yes","No")</f>
        <v/>
      </c>
      <c r="V11" s="8">
        <f>IF(Q11="Risk Accepted","n/a (acceptance expiry)",IF(O11&lt;=M11,"Yes","No"))</f>
        <v/>
      </c>
      <c r="W11" s="9" t="inlineStr">
        <is>
          <t>FIND-011 (4 open breaches resolve only when legacy hosts are decommissioned)</t>
        </is>
      </c>
      <c r="X11" s="9" t="inlineStr">
        <is>
          <t>Re-performance: tools/assessment_tests.py vulnsla on Q3 export (target: &gt;= 95% within SLA, 0 open Critical past SLA without exception)</t>
        </is>
      </c>
      <c r="Y11" s="8" t="inlineStr"/>
      <c r="Z11" s="8" t="inlineStr"/>
      <c r="AA11" s="10" t="n"/>
      <c r="AB11" s="9" t="inlineStr">
        <is>
          <t>Moderate (RISK-006 residual L2 x I4 = 8)</t>
        </is>
      </c>
      <c r="AC11" s="9" t="inlineStr">
        <is>
          <t>CISO approved a 30-day exception for the 2 criticals (expires 2026-09-30) contingent on M2; consider SI-2(7) root cause analysis (OBS-04).</t>
        </is>
      </c>
    </row>
    <row r="12">
      <c r="A12" s="8" t="inlineStr">
        <is>
          <t>POAM-011</t>
        </is>
      </c>
      <c r="B12" s="8" t="inlineStr">
        <is>
          <t>FIND-011</t>
        </is>
      </c>
      <c r="C12" s="8" t="inlineStr">
        <is>
          <t>SA-22</t>
        </is>
      </c>
      <c r="D12" s="8" t="inlineStr">
        <is>
          <t>RISK-007</t>
        </is>
      </c>
      <c r="E12" s="9" t="inlineStr">
        <is>
          <t>Unsupported components (Windows 2012 R2 SFTP host, PostgreSQL 11, Node.js 16) in PHI path</t>
        </is>
      </c>
      <c r="F12" s="9" t="inlineStr">
        <is>
          <t>Legacy integrations excluded from modernization; no lifecycle review for non-IaC assets</t>
        </is>
      </c>
      <c r="G12" s="8" t="inlineStr">
        <is>
          <t>High</t>
        </is>
      </c>
      <c r="H12" s="9" t="inlineStr">
        <is>
          <t>Avoid: replace wf-sftp-01 with managed transfer (IaC, PGP + SFTP, vendor/customer keys); migrate legacy-reports to supported Aurora replica; upgrade notify-worker (with POAM-010); maintain compensating controls until then</t>
        </is>
      </c>
      <c r="I12" s="9" t="inlineStr">
        <is>
          <t>M1 Stand up managed transfer service (IaC) and test with Quarrystone (due 2026-08-28; Done) | M2 Cut over Quarrystone + 4 customers; decommission wf-sftp-01 (due 2026-09-15; Delayed) | M3 Migrate legacy-reports to Aurora read replica; decommission EC2 host (due 2026-10-30; In Progress) | M4 Assessor validation: inventory shows 0 unsupported components; hosts terminated (due 2026-12-15; Not Started)</t>
        </is>
      </c>
      <c r="J12" s="8" t="inlineStr">
        <is>
          <t>Tomasz Wierzbicki (Director, Platform Engineering)</t>
        </is>
      </c>
      <c r="K12" s="9" t="inlineStr">
        <is>
          <t>SRE (about 120h); Customer Ops coordination with 4 customers + Quarrystone; managed transfer service about $400/month</t>
        </is>
      </c>
      <c r="L12" s="10" t="n">
        <v>46241</v>
      </c>
      <c r="M12" s="10">
        <f>L12+IF(G12="Critical",30,IF(G12="High",90,IF(G12="Moderate",180,365)))</f>
        <v/>
      </c>
      <c r="N12" s="10" t="n">
        <v>46331</v>
      </c>
      <c r="O12" s="10" t="n">
        <v>46371</v>
      </c>
      <c r="P12" s="9" t="inlineStr">
        <is>
          <t>M2 slipped: 2 of 4 customers have not completed partner key exchange. SLA extension approved by CTO and CISO 2026-09-12 with compensating controls (EDR, allowlist, SSM-only admin, weekly scans); still ahead of SHCA go-live 2027-01-11.</t>
        </is>
      </c>
      <c r="Q12" s="8" t="inlineStr">
        <is>
          <t>Delayed</t>
        </is>
      </c>
      <c r="R12" s="11">
        <f>IFERROR(COUNTIFS(Milestones!$A:$A,A12,Milestones!$E:$E,"Done")/COUNTIF(Milestones!$A:$A,A12),0)</f>
        <v/>
      </c>
      <c r="S12" s="8">
        <f>IF(Q12="Closed",AA12-L12,README!$B$4-L12)</f>
        <v/>
      </c>
      <c r="T12" s="8">
        <f>IF(AND(Q12&lt;&gt;"Closed",Q12&lt;&gt;"Risk Accepted",O12&lt;README!$B$4),"Yes","No")</f>
        <v/>
      </c>
      <c r="U12" s="8">
        <f>IF(O12&lt;&gt;N12,"Yes","No")</f>
        <v/>
      </c>
      <c r="V12" s="8">
        <f>IF(Q12="Risk Accepted","n/a (acceptance expiry)",IF(O12&lt;=M12,"Yes","No"))</f>
        <v/>
      </c>
      <c r="W12" s="9" t="inlineStr">
        <is>
          <t>Customer partner-side key exchange (2 of 4 pending); POAM-010 M2 for notify-worker</t>
        </is>
      </c>
      <c r="X12" s="9" t="inlineStr">
        <is>
          <t>Inspection of EOL inventory and AWS Config (instances terminated); re-run vulnsla to confirm legacy-host findings closed</t>
        </is>
      </c>
      <c r="Y12" s="8" t="inlineStr"/>
      <c r="Z12" s="8" t="inlineStr"/>
      <c r="AA12" s="10" t="n"/>
      <c r="AB12" s="9" t="inlineStr">
        <is>
          <t>Low target (RISK-007 residual L1 x I4 = 4); currently High</t>
        </is>
      </c>
      <c r="AC12" s="9" t="inlineStr">
        <is>
          <t>Treatment is Avoid (decommission) rather than patching, which is not possible.</t>
        </is>
      </c>
    </row>
    <row r="13">
      <c r="A13" s="8" t="inlineStr">
        <is>
          <t>POAM-012</t>
        </is>
      </c>
      <c r="B13" s="8" t="inlineStr">
        <is>
          <t>FIND-012</t>
        </is>
      </c>
      <c r="C13" s="8" t="inlineStr">
        <is>
          <t>SC-7; CM-6</t>
        </is>
      </c>
      <c r="D13" s="8" t="inlineStr">
        <is>
          <t>RISK-012; RISK-007</t>
        </is>
      </c>
      <c r="E13" s="9" t="inlineStr">
        <is>
          <t>RDP open to 0.0.0.0/0 on wf-sftp-01; CSPM High finding untriaged 43 days</t>
        </is>
      </c>
      <c r="F13" s="9" t="inlineStr">
        <is>
          <t>Console change path bypasses IaC/approval; Security Hub findings not routed to on-call</t>
        </is>
      </c>
      <c r="G13" s="8" t="inlineStr">
        <is>
          <t>High</t>
        </is>
      </c>
      <c r="H13" s="9" t="inlineStr">
        <is>
          <t>Remove rule; route Security Hub High findings to on-call with 7-day SLA; SCP guardrail blocking 0.0.0.0/0 on admin ports</t>
        </is>
      </c>
      <c r="I13" s="9" t="inlineStr">
        <is>
          <t>M1 Remove 3389 ingress rule; confirm SSM-only admin (CHG-2026-0521); review Windows 4624 type-10 logons (due 2026-07-03; Done) | M2 Route Security Hub High findings to SRE on-call queue (due 2026-07-08; Done) | M3 Deploy SCP guardrail for admin ports from 0.0.0.0/0 (due 2026-07-10; Done) | M4 Assessor validation: SG export, Security Hub PASSED, guardrail test (due 2026-07-10; Done)</t>
        </is>
      </c>
      <c r="J13" s="8" t="inlineStr">
        <is>
          <t>Tomasz Wierzbicki (Director, Platform Engineering)</t>
        </is>
      </c>
      <c r="K13" s="9" t="inlineStr">
        <is>
          <t>SRE (about 12h)</t>
        </is>
      </c>
      <c r="L13" s="10" t="n">
        <v>46205</v>
      </c>
      <c r="M13" s="10">
        <f>L13+IF(G13="Critical",30,IF(G13="High",90,IF(G13="Moderate",180,365)))</f>
        <v/>
      </c>
      <c r="N13" s="10" t="n">
        <v>46213</v>
      </c>
      <c r="O13" s="10" t="n">
        <v>46213</v>
      </c>
      <c r="P13" s="9" t="inlineStr"/>
      <c r="Q13" s="8" t="inlineStr">
        <is>
          <t>Closed</t>
        </is>
      </c>
      <c r="R13" s="11">
        <f>IFERROR(COUNTIFS(Milestones!$A:$A,A13,Milestones!$E:$E,"Done")/COUNTIF(Milestones!$A:$A,A13),0)</f>
        <v/>
      </c>
      <c r="S13" s="8">
        <f>IF(Q13="Closed",AA13-L13,README!$B$4-L13)</f>
        <v/>
      </c>
      <c r="T13" s="8">
        <f>IF(AND(Q13&lt;&gt;"Closed",Q13&lt;&gt;"Risk Accepted",O13&lt;README!$B$4),"Yes","No")</f>
        <v/>
      </c>
      <c r="U13" s="8">
        <f>IF(O13&lt;&gt;N13,"Yes","No")</f>
        <v/>
      </c>
      <c r="V13" s="8">
        <f>IF(Q13="Risk Accepted","n/a (acceptance expiry)",IF(O13&lt;=M13,"Yes","No"))</f>
        <v/>
      </c>
      <c r="W13" s="9" t="inlineStr"/>
      <c r="X13" s="9" t="inlineStr">
        <is>
          <t>Inspection of SG and Security Hub status; re-performance: attempted to add 0.0.0.0/0:3389 rule in a sandbox OU account (denied by SCP)</t>
        </is>
      </c>
      <c r="Y13" s="8" t="inlineStr">
        <is>
          <t>EVID-068; EVID-053</t>
        </is>
      </c>
      <c r="Z13" s="8" t="inlineStr">
        <is>
          <t>Lead assessor</t>
        </is>
      </c>
      <c r="AA13" s="10" t="n">
        <v>46213</v>
      </c>
      <c r="AB13" s="9" t="inlineStr">
        <is>
          <t>Moderate (RISK-012 residual L2 x I4 = 8)</t>
        </is>
      </c>
      <c r="AC13" s="9" t="inlineStr">
        <is>
          <t>Remediated during fieldwork. Still reported as a finding because the control failed during the period.</t>
        </is>
      </c>
    </row>
    <row r="14">
      <c r="A14" s="8" t="inlineStr">
        <is>
          <t>POAM-013</t>
        </is>
      </c>
      <c r="B14" s="8" t="inlineStr">
        <is>
          <t>FIND-013</t>
        </is>
      </c>
      <c r="C14" s="8" t="inlineStr">
        <is>
          <t>CP-9(1)</t>
        </is>
      </c>
      <c r="D14" s="8" t="inlineStr">
        <is>
          <t>RISK-008</t>
        </is>
      </c>
      <c r="E14" s="9" t="inlineStr">
        <is>
          <t>Backup restoration never tested</t>
        </is>
      </c>
      <c r="F14" s="9" t="inlineStr">
        <is>
          <t>Recoverability assumed from job success; no scheduled restore test</t>
        </is>
      </c>
      <c r="G14" s="8" t="inlineStr">
        <is>
          <t>Moderate</t>
        </is>
      </c>
      <c r="H14" s="9" t="inlineStr">
        <is>
          <t>Documented restore from DR vault into isolated account with timing and integrity checks; semi-annual schedule in BCP-003</t>
        </is>
      </c>
      <c r="I14" s="9" t="inlineStr">
        <is>
          <t>M1 Write restore runbook and integrity-check queries (due 2026-08-21; Done) | M2 Perform restore test (assessor observes) (due 2026-08-28; Done) | M3 Add semi-annual restore test to BCP-003 calendar; assessor validation (due 2026-09-01; Done)</t>
        </is>
      </c>
      <c r="J14" s="8" t="inlineStr">
        <is>
          <t>Tomasz Wierzbicki (Director, Platform Engineering)</t>
        </is>
      </c>
      <c r="K14" s="9" t="inlineStr">
        <is>
          <t>SRE (about 16h); isolated recovery account</t>
        </is>
      </c>
      <c r="L14" s="10" t="n">
        <v>46241</v>
      </c>
      <c r="M14" s="10">
        <f>L14+IF(G14="Critical",30,IF(G14="High",90,IF(G14="Moderate",180,365)))</f>
        <v/>
      </c>
      <c r="N14" s="10" t="n">
        <v>46266</v>
      </c>
      <c r="O14" s="10" t="n">
        <v>46266</v>
      </c>
      <c r="P14" s="9" t="inlineStr"/>
      <c r="Q14" s="8" t="inlineStr">
        <is>
          <t>Closed</t>
        </is>
      </c>
      <c r="R14" s="11">
        <f>IFERROR(COUNTIFS(Milestones!$A:$A,A14,Milestones!$E:$E,"Done")/COUNTIF(Milestones!$A:$A,A14),0)</f>
        <v/>
      </c>
      <c r="S14" s="8">
        <f>IF(Q14="Closed",AA14-L14,README!$B$4-L14)</f>
        <v/>
      </c>
      <c r="T14" s="8">
        <f>IF(AND(Q14&lt;&gt;"Closed",Q14&lt;&gt;"Risk Accepted",O14&lt;README!$B$4),"Yes","No")</f>
        <v/>
      </c>
      <c r="U14" s="8">
        <f>IF(O14&lt;&gt;N14,"Yes","No")</f>
        <v/>
      </c>
      <c r="V14" s="8">
        <f>IF(Q14="Risk Accepted","n/a (acceptance expiry)",IF(O14&lt;=M14,"Yes","No"))</f>
        <v/>
      </c>
      <c r="W14" s="9" t="inlineStr"/>
      <c r="X14" s="9" t="inlineStr">
        <is>
          <t>Observation of restore test; inspection of timings vs RTO/RPO and integrity check output</t>
        </is>
      </c>
      <c r="Y14" s="8" t="inlineStr">
        <is>
          <t>EVID-069</t>
        </is>
      </c>
      <c r="Z14" s="8" t="inlineStr">
        <is>
          <t>Lead assessor</t>
        </is>
      </c>
      <c r="AA14" s="10" t="n">
        <v>46266</v>
      </c>
      <c r="AB14" s="9" t="inlineStr">
        <is>
          <t>Moderate (RISK-008 residual L2 x I4 = 8, pending POAM-014)</t>
        </is>
      </c>
      <c r="AC14" s="9" t="inlineStr"/>
    </row>
    <row r="15">
      <c r="A15" s="8" t="inlineStr">
        <is>
          <t>POAM-014</t>
        </is>
      </c>
      <c r="B15" s="8" t="inlineStr">
        <is>
          <t>FIND-014</t>
        </is>
      </c>
      <c r="C15" s="8" t="inlineStr">
        <is>
          <t>IR-3; CP-4</t>
        </is>
      </c>
      <c r="D15" s="8" t="inlineStr">
        <is>
          <t>RISK-009; RISK-008</t>
        </is>
      </c>
      <c r="E15" s="9" t="inlineStr">
        <is>
          <t>IR and contingency plans not tested in 12+ months; SHCA 24h path unrehearsed</t>
        </is>
      </c>
      <c r="F15" s="9" t="inlineStr">
        <is>
          <t>Exercises deferred twice without escalation</t>
        </is>
      </c>
      <c r="G15" s="8" t="inlineStr">
        <is>
          <t>Moderate</t>
        </is>
      </c>
      <c r="H15" s="9" t="inlineStr">
        <is>
          <t>Combined ransomware tabletop (IR + CP) with MDR, Legal/Privacy, Customer Ops, execs; update IRP-005 (SHCA 24h step, roster); track after-action items</t>
        </is>
      </c>
      <c r="I15" s="9" t="inlineStr">
        <is>
          <t>M1 Update IRP-005: SHCA 24h notification step + current roster (OBS-03) (due 2026-09-15; Done) | M2 Conduct ransomware tabletop (IR + CP) (due 2026-10-14; Not Started) | M3 Publish after-action report; add corrective actions to POA&amp;M (due 2026-10-30; Not Started) | M4 Assessor validation (due 2026-11-15; Not Started)</t>
        </is>
      </c>
      <c r="J15" s="8" t="inlineStr">
        <is>
          <t>Owen Castillo (Security Engineer)</t>
        </is>
      </c>
      <c r="K15" s="9" t="inlineStr">
        <is>
          <t>Facilitator (MDR-provided, in contract); 3h of 12 participants</t>
        </is>
      </c>
      <c r="L15" s="10" t="n">
        <v>46241</v>
      </c>
      <c r="M15" s="10">
        <f>L15+IF(G15="Critical",30,IF(G15="High",90,IF(G15="Moderate",180,365)))</f>
        <v/>
      </c>
      <c r="N15" s="10" t="n">
        <v>46341</v>
      </c>
      <c r="O15" s="10" t="n">
        <v>46341</v>
      </c>
      <c r="P15" s="9" t="inlineStr"/>
      <c r="Q15" s="8" t="inlineStr">
        <is>
          <t>In Progress</t>
        </is>
      </c>
      <c r="R15" s="11">
        <f>IFERROR(COUNTIFS(Milestones!$A:$A,A15,Milestones!$E:$E,"Done")/COUNTIF(Milestones!$A:$A,A15),0)</f>
        <v/>
      </c>
      <c r="S15" s="8">
        <f>IF(Q15="Closed",AA15-L15,README!$B$4-L15)</f>
        <v/>
      </c>
      <c r="T15" s="8">
        <f>IF(AND(Q15&lt;&gt;"Closed",Q15&lt;&gt;"Risk Accepted",O15&lt;README!$B$4),"Yes","No")</f>
        <v/>
      </c>
      <c r="U15" s="8">
        <f>IF(O15&lt;&gt;N15,"Yes","No")</f>
        <v/>
      </c>
      <c r="V15" s="8">
        <f>IF(Q15="Risk Accepted","n/a (acceptance expiry)",IF(O15&lt;=M15,"Yes","No"))</f>
        <v/>
      </c>
      <c r="W15" s="9" t="inlineStr">
        <is>
          <t>Executive calendar availability</t>
        </is>
      </c>
      <c r="X15" s="9" t="inlineStr">
        <is>
          <t>Inspection of exercise materials, attendance, after-action report; verify corrective actions are tracked</t>
        </is>
      </c>
      <c r="Y15" s="8" t="inlineStr"/>
      <c r="Z15" s="8" t="inlineStr"/>
      <c r="AA15" s="10" t="n"/>
      <c r="AB15" s="9" t="inlineStr">
        <is>
          <t>Moderate (RISK-009 residual L2 x I3 = 6)</t>
        </is>
      </c>
      <c r="AC15" s="9" t="inlineStr"/>
    </row>
    <row r="16">
      <c r="A16" s="8" t="inlineStr">
        <is>
          <t>POAM-015</t>
        </is>
      </c>
      <c r="B16" s="8" t="inlineStr">
        <is>
          <t>FIND-015</t>
        </is>
      </c>
      <c r="C16" s="8" t="inlineStr">
        <is>
          <t>SR-6; SA-9; SR-2</t>
        </is>
      </c>
      <c r="D16" s="8" t="inlineStr">
        <is>
          <t>RISK-011; RISK-010</t>
        </is>
      </c>
      <c r="E16" s="9" t="inlineStr">
        <is>
          <t>5 of 14 Tier 1–2 vendors overdue; no fourth-party inventory; no C-SCRM plan</t>
        </is>
      </c>
      <c r="F16" s="9" t="inlineStr">
        <is>
          <t>Under-resourced vendor program; spreadsheet tracking without reminders</t>
        </is>
      </c>
      <c r="G16" s="8" t="inlineStr">
        <is>
          <t>Moderate</t>
        </is>
      </c>
      <c r="H16" s="9" t="inlineStr">
        <is>
          <t>Clear overdue assessments (Tier 1 first); build fourth-party inventory; approve C-SCRM plan aligned to SP 800-161r1-upd1 / SP 800-18r2; renewal triggers</t>
        </is>
      </c>
      <c r="I16" s="9" t="inlineStr">
        <is>
          <t>M1 Assess Tier 1 overdue vendors (Pulsewire, Ironpeak) (due 2026-11-30; In Progress) | M2 Fourth-party inventory from updated questionnaires (all Tier 1) (due 2026-12-15; Not Started) | M3 Approve C-SCRM plan (due 2027-01-15; Not Started) | M4 Assess remaining Tier 2 overdue vendors; assessor validation (due 2027-02-03; Not Started)</t>
        </is>
      </c>
      <c r="J16" s="8" t="inlineStr">
        <is>
          <t>Beth Kowalski (Vendor Management Lead)</t>
        </is>
      </c>
      <c r="K16" s="9" t="inlineStr">
        <is>
          <t>Vendor Mgmt (about 0.5 FTE for 4 months); GRC Manager support</t>
        </is>
      </c>
      <c r="L16" s="10" t="n">
        <v>46241</v>
      </c>
      <c r="M16" s="10">
        <f>L16+IF(G16="Critical",30,IF(G16="High",90,IF(G16="Moderate",180,365)))</f>
        <v/>
      </c>
      <c r="N16" s="10" t="n">
        <v>46421</v>
      </c>
      <c r="O16" s="10" t="n">
        <v>46421</v>
      </c>
      <c r="P16" s="9" t="inlineStr"/>
      <c r="Q16" s="8" t="inlineStr">
        <is>
          <t>In Progress</t>
        </is>
      </c>
      <c r="R16" s="11">
        <f>IFERROR(COUNTIFS(Milestones!$A:$A,A16,Milestones!$E:$E,"Done")/COUNTIF(Milestones!$A:$A,A16),0)</f>
        <v/>
      </c>
      <c r="S16" s="8">
        <f>IF(Q16="Closed",AA16-L16,README!$B$4-L16)</f>
        <v/>
      </c>
      <c r="T16" s="8">
        <f>IF(AND(Q16&lt;&gt;"Closed",Q16&lt;&gt;"Risk Accepted",O16&lt;README!$B$4),"Yes","No")</f>
        <v/>
      </c>
      <c r="U16" s="8">
        <f>IF(O16&lt;&gt;N16,"Yes","No")</f>
        <v/>
      </c>
      <c r="V16" s="8">
        <f>IF(Q16="Risk Accepted","n/a (acceptance expiry)",IF(O16&lt;=M16,"Yes","No"))</f>
        <v/>
      </c>
      <c r="W16" s="9" t="inlineStr">
        <is>
          <t>Vendor responsiveness</t>
        </is>
      </c>
      <c r="X16" s="9" t="inlineStr">
        <is>
          <t>Inspection of vendor register (100% Tier 1–2 within frequency) and approved C-SCRM plan</t>
        </is>
      </c>
      <c r="Y16" s="8" t="inlineStr"/>
      <c r="Z16" s="8" t="inlineStr"/>
      <c r="AA16" s="10" t="n"/>
      <c r="AB16" s="9" t="inlineStr">
        <is>
          <t>Moderate (RISK-011 residual L2 x I4 = 8)</t>
        </is>
      </c>
      <c r="AC16" s="9" t="inlineStr"/>
    </row>
    <row r="17">
      <c r="A17" s="8" t="inlineStr">
        <is>
          <t>POAM-016</t>
        </is>
      </c>
      <c r="B17" s="8" t="inlineStr">
        <is>
          <t>FIND-016</t>
        </is>
      </c>
      <c r="C17" s="8" t="inlineStr">
        <is>
          <t>SA-9; SR-6</t>
        </is>
      </c>
      <c r="D17" s="8" t="inlineStr">
        <is>
          <t>RISK-010</t>
        </is>
      </c>
      <c r="E17" s="9" t="inlineStr">
        <is>
          <t>Quarrystone: offshore PHI access, 30-day breach notice, excessive data fields, stale pentest</t>
        </is>
      </c>
      <c r="F17" s="9" t="inlineStr">
        <is>
          <t>2023 contract on vendor paper before TPRM-007; self-attestation relied on; extract not designed for minimum necessary</t>
        </is>
      </c>
      <c r="G17" s="8" t="inlineStr">
        <is>
          <t>High</t>
        </is>
      </c>
      <c r="H17" s="9" t="inlineStr">
        <is>
          <t>Contract amendment (US-only + technical enforcement, 24h notice, subcontractor approval, data return/destruction 30 days with certificate, log cooperation); minimize extract to scoring-required fields with tokenized IDs; obtain current pentest + retest; SHCA data blocked until conditions met</t>
        </is>
      </c>
      <c r="I17" s="9" t="inlineStr">
        <is>
          <t>M1 Interim: vendor suspends offshore access to Wrenfield data (letter) (due 2026-07-24; Done) | M2 Execute contract amendment (redline v3 in negotiation) (due 2026-09-30; In Progress) | M3 Deploy minimized, tokenized extract (drop address, phone, email, free text) (due 2026-10-16; In Progress) | M4 Receive current pentest report + retest letter (EVID-051) (due 2026-10-30; Not Started) | M5 Assessor validation + vendor risk re-score (due 2026-11-05; Not Started)</t>
        </is>
      </c>
      <c r="J17" s="8" t="inlineStr">
        <is>
          <t>Dr. Miriam Castell (VP Clinical Analytics)</t>
        </is>
      </c>
      <c r="K17" s="9" t="inlineStr">
        <is>
          <t>General Counsel (about 20h); Data Engineering (about 60h for extract redesign); Vendor Mgmt</t>
        </is>
      </c>
      <c r="L17" s="10" t="n">
        <v>46241</v>
      </c>
      <c r="M17" s="10">
        <f>L17+IF(G17="Critical",30,IF(G17="High",90,IF(G17="Moderate",180,365)))</f>
        <v/>
      </c>
      <c r="N17" s="10" t="n">
        <v>46331</v>
      </c>
      <c r="O17" s="10" t="n">
        <v>46331</v>
      </c>
      <c r="P17" s="9" t="inlineStr"/>
      <c r="Q17" s="8" t="inlineStr">
        <is>
          <t>In Progress</t>
        </is>
      </c>
      <c r="R17" s="11">
        <f>IFERROR(COUNTIFS(Milestones!$A:$A,A17,Milestones!$E:$E,"Done")/COUNTIF(Milestones!$A:$A,A17),0)</f>
        <v/>
      </c>
      <c r="S17" s="8">
        <f>IF(Q17="Closed",AA17-L17,README!$B$4-L17)</f>
        <v/>
      </c>
      <c r="T17" s="8">
        <f>IF(AND(Q17&lt;&gt;"Closed",Q17&lt;&gt;"Risk Accepted",O17&lt;README!$B$4),"Yes","No")</f>
        <v/>
      </c>
      <c r="U17" s="8">
        <f>IF(O17&lt;&gt;N17,"Yes","No")</f>
        <v/>
      </c>
      <c r="V17" s="8">
        <f>IF(Q17="Risk Accepted","n/a (acceptance expiry)",IF(O17&lt;=M17,"Yes","No"))</f>
        <v/>
      </c>
      <c r="W17" s="9" t="inlineStr">
        <is>
          <t>Vendor negotiation; Quarrystone model retraining on minimized fields</t>
        </is>
      </c>
      <c r="X17" s="9" t="inlineStr">
        <is>
          <t>Inspection of executed amendment; test: sample extract file schema vs approved minimum field list; inspection of pentest/retest; vendor attestation of US-only access with access-log sample</t>
        </is>
      </c>
      <c r="Y17" s="8" t="inlineStr">
        <is>
          <t>EVID-073; EVID-051</t>
        </is>
      </c>
      <c r="Z17" s="8" t="inlineStr"/>
      <c r="AA17" s="10" t="n"/>
      <c r="AB17" s="9" t="inlineStr">
        <is>
          <t>Moderate target (RISK-010 residual L2 x I4 = 8); currently High</t>
        </is>
      </c>
      <c r="AC17" s="9" t="inlineStr">
        <is>
          <t>VR-001 (Critical) escalated to CEO 2026-07-17 per risk appetite; CEO approved conditional continuation 2026-07-22.</t>
        </is>
      </c>
    </row>
    <row r="18">
      <c r="A18" s="8" t="inlineStr">
        <is>
          <t>POAM-017</t>
        </is>
      </c>
      <c r="B18" s="8" t="inlineStr">
        <is>
          <t>FIND-017</t>
        </is>
      </c>
      <c r="C18" s="8" t="inlineStr">
        <is>
          <t>PL-2</t>
        </is>
      </c>
      <c r="D18" s="8" t="inlineStr">
        <is>
          <t>RISK-016</t>
        </is>
      </c>
      <c r="E18" s="9" t="inlineStr">
        <is>
          <t>SSP outdated; overstates implementation of 27 of 61 controls</t>
        </is>
      </c>
      <c r="F18" s="9" t="inlineStr">
        <is>
          <t>SSP maintained as SOC 2 narrative; no update trigger on architecture change</t>
        </is>
      </c>
      <c r="G18" s="8" t="inlineStr">
        <is>
          <t>Low</t>
        </is>
      </c>
      <c r="H18" s="9" t="inlineStr">
        <is>
          <t>Rewrite SSP control-by-control from the validated matrix (SP 800-18 Rev. 2 structure); add architecture-change trigger in CMP-006</t>
        </is>
      </c>
      <c r="I18" s="9" t="inlineStr">
        <is>
          <t>M1 SSP outline on SP 800-18r2 structure; boundary + data flows updated (due 2026-09-30; In Progress) | M2 Control implementation statements (61 controls) reviewed by owners (due 2026-11-30; Not Started) | M3 Approval by CTO (system owner); assessor validation (due 2026-12-15; Not Started)</t>
        </is>
      </c>
      <c r="J18" s="8" t="inlineStr">
        <is>
          <t>Priya Raman (Security Compliance Manager)</t>
        </is>
      </c>
      <c r="K18" s="9" t="inlineStr">
        <is>
          <t>GRC Manager (about 80h); control owner reviews</t>
        </is>
      </c>
      <c r="L18" s="10" t="n">
        <v>46241</v>
      </c>
      <c r="M18" s="10">
        <f>L18+IF(G18="Critical",30,IF(G18="High",90,IF(G18="Moderate",180,365)))</f>
        <v/>
      </c>
      <c r="N18" s="10" t="n">
        <v>46371</v>
      </c>
      <c r="O18" s="10" t="n">
        <v>46371</v>
      </c>
      <c r="P18" s="9" t="inlineStr"/>
      <c r="Q18" s="8" t="inlineStr">
        <is>
          <t>In Progress</t>
        </is>
      </c>
      <c r="R18" s="11">
        <f>IFERROR(COUNTIFS(Milestones!$A:$A,A18,Milestones!$E:$E,"Done")/COUNTIF(Milestones!$A:$A,A18),0)</f>
        <v/>
      </c>
      <c r="S18" s="8">
        <f>IF(Q18="Closed",AA18-L18,README!$B$4-L18)</f>
        <v/>
      </c>
      <c r="T18" s="8">
        <f>IF(AND(Q18&lt;&gt;"Closed",Q18&lt;&gt;"Risk Accepted",O18&lt;README!$B$4),"Yes","No")</f>
        <v/>
      </c>
      <c r="U18" s="8">
        <f>IF(O18&lt;&gt;N18,"Yes","No")</f>
        <v/>
      </c>
      <c r="V18" s="8">
        <f>IF(Q18="Risk Accepted","n/a (acceptance expiry)",IF(O18&lt;=M18,"Yes","No"))</f>
        <v/>
      </c>
      <c r="W18" s="9" t="inlineStr">
        <is>
          <t>Control owners' review time</t>
        </is>
      </c>
      <c r="X18" s="9" t="inlineStr">
        <is>
          <t>Inspection: SSP statements traced to matrix determinations (sample 15 controls)</t>
        </is>
      </c>
      <c r="Y18" s="8" t="inlineStr"/>
      <c r="Z18" s="8" t="inlineStr"/>
      <c r="AA18" s="10" t="n"/>
      <c r="AB18" s="9" t="inlineStr">
        <is>
          <t>Low (RISK-016 residual)</t>
        </is>
      </c>
      <c r="AC18" s="9" t="inlineStr"/>
    </row>
    <row r="19">
      <c r="A19" s="8" t="inlineStr">
        <is>
          <t>POAM-018</t>
        </is>
      </c>
      <c r="B19" s="8" t="inlineStr">
        <is>
          <t>FIND-018</t>
        </is>
      </c>
      <c r="C19" s="8" t="inlineStr">
        <is>
          <t>CM-3</t>
        </is>
      </c>
      <c r="D19" s="8" t="inlineStr">
        <is>
          <t>RISK-014</t>
        </is>
      </c>
      <c r="E19" s="9" t="inlineStr">
        <is>
          <t>Emergency and console changes bypass approval (3 of 25 sampled)</t>
        </is>
      </c>
      <c r="F19" s="9" t="inlineStr">
        <is>
          <t>Console/emergency paths rely on memory; no retro-approval tracking</t>
        </is>
      </c>
      <c r="G19" s="8" t="inlineStr">
        <is>
          <t>Moderate</t>
        </is>
      </c>
      <c r="H19" s="9" t="inlineStr">
        <is>
          <t>Auto-open retro-approval task on every emergency change with 2-day escalation; CloudTrail/EventBridge alerts on console changes to security groups and IAM; approval gate before deploy job</t>
        </is>
      </c>
      <c r="I19" s="9" t="inlineStr">
        <is>
          <t>M1 Retro-approval task automation for emergency changes (due 2026-08-28; Done) | M2 EventBridge alerts on console SG/IAM changes to on-call (due 2026-09-04; Not Started) | M3 Assessor validation: sample of emergency changes since M1 + alert test (due 2026-09-11; Not Started)</t>
        </is>
      </c>
      <c r="J19" s="8" t="inlineStr">
        <is>
          <t>Tomasz Wierzbicki (Director, Platform Engineering)</t>
        </is>
      </c>
      <c r="K19" s="9" t="inlineStr">
        <is>
          <t>SRE (about 24h)</t>
        </is>
      </c>
      <c r="L19" s="10" t="n">
        <v>46241</v>
      </c>
      <c r="M19" s="10">
        <f>L19+IF(G19="Critical",30,IF(G19="High",90,IF(G19="Moderate",180,365)))</f>
        <v/>
      </c>
      <c r="N19" s="10" t="n">
        <v>46276</v>
      </c>
      <c r="O19" s="10" t="n">
        <v>46276</v>
      </c>
      <c r="P19" s="9" t="inlineStr"/>
      <c r="Q19" s="8" t="inlineStr">
        <is>
          <t>In Progress</t>
        </is>
      </c>
      <c r="R19" s="11">
        <f>IFERROR(COUNTIFS(Milestones!$A:$A,A19,Milestones!$E:$E,"Done")/COUNTIF(Milestones!$A:$A,A19),0)</f>
        <v/>
      </c>
      <c r="S19" s="8">
        <f>IF(Q19="Closed",AA19-L19,README!$B$4-L19)</f>
        <v/>
      </c>
      <c r="T19" s="8">
        <f>IF(AND(Q19&lt;&gt;"Closed",Q19&lt;&gt;"Risk Accepted",O19&lt;README!$B$4),"Yes","No")</f>
        <v/>
      </c>
      <c r="U19" s="8">
        <f>IF(O19&lt;&gt;N19,"Yes","No")</f>
        <v/>
      </c>
      <c r="V19" s="8">
        <f>IF(Q19="Risk Accepted","n/a (acceptance expiry)",IF(O19&lt;=M19,"Yes","No"))</f>
        <v/>
      </c>
      <c r="W19" s="9" t="inlineStr">
        <is>
          <t>SRE backlog capacity (competing with POAM-011)</t>
        </is>
      </c>
      <c r="X19" s="9" t="inlineStr">
        <is>
          <t>Test: all emergency changes since 2026-08-28 retro-approved within 2 business days; trigger a test SG change and confirm alert</t>
        </is>
      </c>
      <c r="Y19" s="8" t="inlineStr"/>
      <c r="Z19" s="8" t="inlineStr"/>
      <c r="AA19" s="10" t="n"/>
      <c r="AB19" s="9" t="inlineStr">
        <is>
          <t>Moderate (RISK-014 residual L2 x I3 = 6)</t>
        </is>
      </c>
      <c r="AC19" s="9" t="inlineStr">
        <is>
          <t>Overdue since 2026-09-11; needs CTO prioritization decision against POAM-011 (same SRE team).</t>
        </is>
      </c>
    </row>
    <row r="20">
      <c r="A20" s="8" t="inlineStr">
        <is>
          <t>POAM-019</t>
        </is>
      </c>
      <c r="B20" s="8" t="inlineStr">
        <is>
          <t>FIND-019</t>
        </is>
      </c>
      <c r="C20" s="8" t="inlineStr">
        <is>
          <t>AT-2</t>
        </is>
      </c>
      <c r="D20" s="8" t="inlineStr">
        <is>
          <t>RISK-015</t>
        </is>
      </c>
      <c r="E20" s="9" t="inlineStr">
        <is>
          <t>Security awareness training completion 91%; suspension not enforced</t>
        </is>
      </c>
      <c r="F20" s="9" t="inlineStr">
        <is>
          <t>Reminders to users only; no manager escalation or enforcement</t>
        </is>
      </c>
      <c r="G20" s="8" t="inlineStr">
        <is>
          <t>Low</t>
        </is>
      </c>
      <c r="H20" s="9" t="inlineStr">
        <is>
          <t>Okta group rule enforcing suspension at 30 days overdue; manager escalation at 14 days; monthly completion reporting</t>
        </is>
      </c>
      <c r="I20" s="9" t="inlineStr">
        <is>
          <t>M1 Manager escalation at 14 days; enforcement group rule live (due 2026-08-21; Done) | M2 Reach &gt;= 99% (documented leave exceptions) (due 2026-09-15; Done) | M3 Assessor validation of EVID-070 (leave records for 3 exceptions) (due 2026-09-30; In Progress)</t>
        </is>
      </c>
      <c r="J20" s="8" t="inlineStr">
        <is>
          <t>Denise Yamamoto (Director of People)</t>
        </is>
      </c>
      <c r="K20" s="9" t="inlineStr">
        <is>
          <t>People Ops (about 8h); IAM Engineer (about 4h)</t>
        </is>
      </c>
      <c r="L20" s="10" t="n">
        <v>46241</v>
      </c>
      <c r="M20" s="10">
        <f>L20+IF(G20="Critical",30,IF(G20="High",90,IF(G20="Moderate",180,365)))</f>
        <v/>
      </c>
      <c r="N20" s="10" t="n">
        <v>46295</v>
      </c>
      <c r="O20" s="10" t="n">
        <v>46295</v>
      </c>
      <c r="P20" s="9" t="inlineStr"/>
      <c r="Q20" s="8" t="inlineStr">
        <is>
          <t>Completed – Pending Validation</t>
        </is>
      </c>
      <c r="R20" s="11">
        <f>IFERROR(COUNTIFS(Milestones!$A:$A,A20,Milestones!$E:$E,"Done")/COUNTIF(Milestones!$A:$A,A20),0)</f>
        <v/>
      </c>
      <c r="S20" s="8">
        <f>IF(Q20="Closed",AA20-L20,README!$B$4-L20)</f>
        <v/>
      </c>
      <c r="T20" s="8">
        <f>IF(AND(Q20&lt;&gt;"Closed",Q20&lt;&gt;"Risk Accepted",O20&lt;README!$B$4),"Yes","No")</f>
        <v/>
      </c>
      <c r="U20" s="8">
        <f>IF(O20&lt;&gt;N20,"Yes","No")</f>
        <v/>
      </c>
      <c r="V20" s="8">
        <f>IF(Q20="Risk Accepted","n/a (acceptance expiry)",IF(O20&lt;=M20,"Yes","No"))</f>
        <v/>
      </c>
      <c r="W20" s="9" t="inlineStr"/>
      <c r="X20" s="9" t="inlineStr">
        <is>
          <t>Inspection: LMS roster reconciled to Okta active population; leave exceptions verified in PeopleHub</t>
        </is>
      </c>
      <c r="Y20" s="8" t="inlineStr">
        <is>
          <t>EVID-070</t>
        </is>
      </c>
      <c r="Z20" s="8" t="inlineStr"/>
      <c r="AA20" s="10" t="n"/>
      <c r="AB20" s="9" t="inlineStr">
        <is>
          <t>Moderate, accepted (RISK-015 residual L3 x I3 = 9)</t>
        </is>
      </c>
      <c r="AC20" s="9" t="inlineStr"/>
    </row>
  </sheetData>
  <autoFilter ref="A1:AC20"/>
  <conditionalFormatting sqref="G2:G220">
    <cfRule type="expression" priority="1" dxfId="0">
      <formula>G2="Critical"</formula>
    </cfRule>
    <cfRule type="expression" priority="2" dxfId="1">
      <formula>G2="High"</formula>
    </cfRule>
    <cfRule type="expression" priority="3" dxfId="2">
      <formula>G2="Moderate"</formula>
    </cfRule>
    <cfRule type="expression" priority="4" dxfId="3">
      <formula>G2="Low"</formula>
    </cfRule>
  </conditionalFormatting>
  <conditionalFormatting sqref="Q2:Q220">
    <cfRule type="expression" priority="5" dxfId="4">
      <formula>Q2="Satisfied"</formula>
    </cfRule>
    <cfRule type="expression" priority="6" dxfId="5">
      <formula>Q2="Other Than Satisfied"</formula>
    </cfRule>
    <cfRule type="expression" priority="7" dxfId="4">
      <formula>Q2="Closed"</formula>
    </cfRule>
    <cfRule type="expression" priority="8" dxfId="4">
      <formula>Q2="Accepted"</formula>
    </cfRule>
    <cfRule type="expression" priority="9" dxfId="6">
      <formula>Q2="Risk Accepted"</formula>
    </cfRule>
    <cfRule type="expression" priority="10" dxfId="5">
      <formula>Q2="Overdue"</formula>
    </cfRule>
    <cfRule type="expression" priority="11" dxfId="5">
      <formula>Q2="Yes"</formula>
    </cfRule>
    <cfRule type="expression" priority="12" dxfId="5">
      <formula>Q2="Insufficient"</formula>
    </cfRule>
    <cfRule type="expression" priority="13" dxfId="7">
      <formula>Q2="Rework Required"</formula>
    </cfRule>
    <cfRule type="expression" priority="14" dxfId="7">
      <formula>Q2="Delayed"</formula>
    </cfRule>
  </conditionalFormatting>
  <conditionalFormatting sqref="T2:T220">
    <cfRule type="expression" priority="15" dxfId="4">
      <formula>T2="Satisfied"</formula>
    </cfRule>
    <cfRule type="expression" priority="16" dxfId="5">
      <formula>T2="Other Than Satisfied"</formula>
    </cfRule>
    <cfRule type="expression" priority="17" dxfId="4">
      <formula>T2="Closed"</formula>
    </cfRule>
    <cfRule type="expression" priority="18" dxfId="4">
      <formula>T2="Accepted"</formula>
    </cfRule>
    <cfRule type="expression" priority="19" dxfId="6">
      <formula>T2="Risk Accepted"</formula>
    </cfRule>
    <cfRule type="expression" priority="20" dxfId="5">
      <formula>T2="Overdue"</formula>
    </cfRule>
    <cfRule type="expression" priority="21" dxfId="5">
      <formula>T2="Yes"</formula>
    </cfRule>
    <cfRule type="expression" priority="22" dxfId="5">
      <formula>T2="Insufficient"</formula>
    </cfRule>
    <cfRule type="expression" priority="23" dxfId="7">
      <formula>T2="Rework Required"</formula>
    </cfRule>
    <cfRule type="expression" priority="24" dxfId="7">
      <formula>T2="Delayed"</formula>
    </cfRule>
  </conditionalFormatting>
  <dataValidations count="1">
    <dataValidation sqref="Q2:Q220" showDropDown="0" showInputMessage="0" showErrorMessage="1" allowBlank="1" errorTitle="Controlled value" error="Choose a value from the list (controlled vocabulary)." type="list">
      <formula1>"Open,In Progress,Delayed,Completed – Pending Validation,Closed,Risk Accepted"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7" t="inlineStr">
        <is>
          <t>POA&amp;M ID</t>
        </is>
      </c>
      <c r="B1" s="7" t="inlineStr">
        <is>
          <t>Milestone</t>
        </is>
      </c>
      <c r="C1" s="7" t="inlineStr">
        <is>
          <t>Description</t>
        </is>
      </c>
      <c r="D1" s="7" t="inlineStr">
        <is>
          <t>Due Date</t>
        </is>
      </c>
      <c r="E1" s="7" t="inlineStr">
        <is>
          <t>Status</t>
        </is>
      </c>
      <c r="F1" s="7" t="inlineStr">
        <is>
          <t>Completed Date</t>
        </is>
      </c>
      <c r="G1" s="7" t="inlineStr">
        <is>
          <t>Late?</t>
        </is>
      </c>
    </row>
    <row r="2">
      <c r="A2" s="8" t="inlineStr">
        <is>
          <t>POAM-001</t>
        </is>
      </c>
      <c r="B2" s="8" t="inlineStr">
        <is>
          <t>M1</t>
        </is>
      </c>
      <c r="C2" s="9" t="inlineStr">
        <is>
          <t>Disable 4 identified accounts (AR-EX-01..04); investigate post-termination sign-in (INC-2026-0117)</t>
        </is>
      </c>
      <c r="D2" s="10" t="n">
        <v>46213</v>
      </c>
      <c r="E2" s="8" t="inlineStr">
        <is>
          <t>Done</t>
        </is>
      </c>
      <c r="F2" s="10" t="n">
        <v>46212</v>
      </c>
      <c r="G2" s="8">
        <f>IF(AND(E2&lt;&gt;"Done",D2&lt;README!$B$4),"Yes","No")</f>
        <v/>
      </c>
    </row>
    <row r="3">
      <c r="A3" s="8" t="inlineStr">
        <is>
          <t>POAM-001</t>
        </is>
      </c>
      <c r="B3" s="8" t="inlineStr">
        <is>
          <t>M2</t>
        </is>
      </c>
      <c r="C3" s="9" t="inlineStr">
        <is>
          <t>Deploy daily HR-to-Okta/AWS IAM/portal reconciliation job with auto-ticketing</t>
        </is>
      </c>
      <c r="D3" s="10" t="n">
        <v>46255</v>
      </c>
      <c r="E3" s="8" t="inlineStr">
        <is>
          <t>Done</t>
        </is>
      </c>
      <c r="F3" s="10" t="n">
        <v>46237</v>
      </c>
      <c r="G3" s="8">
        <f>IF(AND(E3&lt;&gt;"Done",D3&lt;README!$B$4),"Yes","No")</f>
        <v/>
      </c>
    </row>
    <row r="4">
      <c r="A4" s="8" t="inlineStr">
        <is>
          <t>POAM-001</t>
        </is>
      </c>
      <c r="B4" s="8" t="inlineStr">
        <is>
          <t>M3</t>
        </is>
      </c>
      <c r="C4" s="9" t="inlineStr">
        <is>
          <t>Update SOP-IAM-02 (24h SLA, local-account checklist, vendor portals); train IT</t>
        </is>
      </c>
      <c r="D4" s="10" t="n">
        <v>46262</v>
      </c>
      <c r="E4" s="8" t="inlineStr">
        <is>
          <t>Done</t>
        </is>
      </c>
      <c r="F4" s="10" t="n">
        <v>46260</v>
      </c>
      <c r="G4" s="8">
        <f>IF(AND(E4&lt;&gt;"Done",D4&lt;README!$B$4),"Yes","No")</f>
        <v/>
      </c>
    </row>
    <row r="5">
      <c r="A5" s="8" t="inlineStr">
        <is>
          <t>POAM-001</t>
        </is>
      </c>
      <c r="B5" s="8" t="inlineStr">
        <is>
          <t>M4</t>
        </is>
      </c>
      <c r="C5" s="9" t="inlineStr">
        <is>
          <t>Assessor validation: re-perform termination test on all terminations since 2026-07-01 + 5 job runs</t>
        </is>
      </c>
      <c r="D5" s="10" t="n">
        <v>46276</v>
      </c>
      <c r="E5" s="8" t="inlineStr">
        <is>
          <t>Done</t>
        </is>
      </c>
      <c r="F5" s="10" t="n">
        <v>46275</v>
      </c>
      <c r="G5" s="8">
        <f>IF(AND(E5&lt;&gt;"Done",D5&lt;README!$B$4),"Yes","No")</f>
        <v/>
      </c>
    </row>
    <row r="6">
      <c r="A6" s="8" t="inlineStr">
        <is>
          <t>POAM-002</t>
        </is>
      </c>
      <c r="B6" s="8" t="inlineStr">
        <is>
          <t>M1</t>
        </is>
      </c>
      <c r="C6" s="9" t="inlineStr">
        <is>
          <t>Enroll 9 human members in MFA (accommodation for 1)</t>
        </is>
      </c>
      <c r="D6" s="10" t="n">
        <v>46262</v>
      </c>
      <c r="E6" s="8" t="inlineStr">
        <is>
          <t>Done</t>
        </is>
      </c>
      <c r="F6" s="10" t="n">
        <v>46261</v>
      </c>
      <c r="G6" s="8">
        <f>IF(AND(E6&lt;&gt;"Done",D6&lt;README!$B$4),"Yes","No")</f>
        <v/>
      </c>
    </row>
    <row r="7">
      <c r="A7" s="8" t="inlineStr">
        <is>
          <t>POAM-002</t>
        </is>
      </c>
      <c r="B7" s="8" t="inlineStr">
        <is>
          <t>M2</t>
        </is>
      </c>
      <c r="C7" s="9" t="inlineStr">
        <is>
          <t>Convert svc-vulnscan and svc-confroom to non-interactive integrations</t>
        </is>
      </c>
      <c r="D7" s="10" t="n">
        <v>46262</v>
      </c>
      <c r="E7" s="8" t="inlineStr">
        <is>
          <t>Done</t>
        </is>
      </c>
      <c r="F7" s="10" t="n">
        <v>46261</v>
      </c>
      <c r="G7" s="8">
        <f>IF(AND(E7&lt;&gt;"Done",D7&lt;README!$B$4),"Yes","No")</f>
        <v/>
      </c>
    </row>
    <row r="8">
      <c r="A8" s="8" t="inlineStr">
        <is>
          <t>POAM-002</t>
        </is>
      </c>
      <c r="B8" s="8" t="inlineStr">
        <is>
          <t>M3</t>
        </is>
      </c>
      <c r="C8" s="9" t="inlineStr">
        <is>
          <t>Delete Legacy Exemption Policy and group; phishing-resistant policy on admin apps (CHG-2026-0731)</t>
        </is>
      </c>
      <c r="D8" s="10" t="n">
        <v>46266</v>
      </c>
      <c r="E8" s="8" t="inlineStr">
        <is>
          <t>Done</t>
        </is>
      </c>
      <c r="F8" s="10" t="n">
        <v>46262</v>
      </c>
      <c r="G8" s="8">
        <f>IF(AND(E8&lt;&gt;"Done",D8&lt;README!$B$4),"Yes","No")</f>
        <v/>
      </c>
    </row>
    <row r="9">
      <c r="A9" s="8" t="inlineStr">
        <is>
          <t>POAM-002</t>
        </is>
      </c>
      <c r="B9" s="8" t="inlineStr">
        <is>
          <t>M4</t>
        </is>
      </c>
      <c r="C9" s="9" t="inlineStr">
        <is>
          <t>Assessor validation: policy export, group lookup, password-only sign-in attempt, IAM credential report</t>
        </is>
      </c>
      <c r="D9" s="10" t="n">
        <v>46270</v>
      </c>
      <c r="E9" s="8" t="inlineStr">
        <is>
          <t>Done</t>
        </is>
      </c>
      <c r="F9" s="10" t="n">
        <v>46270</v>
      </c>
      <c r="G9" s="8">
        <f>IF(AND(E9&lt;&gt;"Done",D9&lt;README!$B$4),"Yes","No")</f>
        <v/>
      </c>
    </row>
    <row r="10">
      <c r="A10" s="8" t="inlineStr">
        <is>
          <t>POAM-003</t>
        </is>
      </c>
      <c r="B10" s="8" t="inlineStr">
        <is>
          <t>M1</t>
        </is>
      </c>
      <c r="C10" s="9" t="inlineStr">
        <is>
          <t>Remove excess grants: AR-EX-05/06/07/08/09</t>
        </is>
      </c>
      <c r="D10" s="10" t="n">
        <v>46255</v>
      </c>
      <c r="E10" s="8" t="inlineStr">
        <is>
          <t>Done</t>
        </is>
      </c>
      <c r="F10" s="10" t="n">
        <v>46254</v>
      </c>
      <c r="G10" s="8">
        <f>IF(AND(E10&lt;&gt;"Done",D10&lt;README!$B$4),"Yes","No")</f>
        <v/>
      </c>
    </row>
    <row r="11">
      <c r="A11" s="8" t="inlineStr">
        <is>
          <t>POAM-003</t>
        </is>
      </c>
      <c r="B11" s="8" t="inlineStr">
        <is>
          <t>M2</t>
        </is>
      </c>
      <c r="C11" s="9" t="inlineStr">
        <is>
          <t>Issue -adm accounts for remaining admins; remove admin from daily accounts (AR-EX-10)</t>
        </is>
      </c>
      <c r="D11" s="10" t="n">
        <v>46295</v>
      </c>
      <c r="E11" s="8" t="inlineStr">
        <is>
          <t>In Progress</t>
        </is>
      </c>
      <c r="F11" s="10" t="n"/>
      <c r="G11" s="8">
        <f>IF(AND(E11&lt;&gt;"Done",D11&lt;README!$B$4),"Yes","No")</f>
        <v/>
      </c>
    </row>
    <row r="12">
      <c r="A12" s="8" t="inlineStr">
        <is>
          <t>POAM-003</t>
        </is>
      </c>
      <c r="B12" s="8" t="inlineStr">
        <is>
          <t>M3</t>
        </is>
      </c>
      <c r="C12" s="9" t="inlineStr">
        <is>
          <t>Implement JIT elevation (approval + 4h auto-expiry) for AWS AdministratorAccess</t>
        </is>
      </c>
      <c r="D12" s="10" t="n">
        <v>46318</v>
      </c>
      <c r="E12" s="8" t="inlineStr">
        <is>
          <t>In Progress</t>
        </is>
      </c>
      <c r="F12" s="10" t="n"/>
      <c r="G12" s="8">
        <f>IF(AND(E12&lt;&gt;"Done",D12&lt;README!$B$4),"Yes","No")</f>
        <v/>
      </c>
    </row>
    <row r="13">
      <c r="A13" s="8" t="inlineStr">
        <is>
          <t>POAM-003</t>
        </is>
      </c>
      <c r="B13" s="8" t="inlineStr">
        <is>
          <t>M4</t>
        </is>
      </c>
      <c r="C13" s="9" t="inlineStr">
        <is>
          <t>Assessor validation: assignment export + live elevation record with CloudTrail evidence</t>
        </is>
      </c>
      <c r="D13" s="10" t="n">
        <v>46331</v>
      </c>
      <c r="E13" s="8" t="inlineStr">
        <is>
          <t>Not Started</t>
        </is>
      </c>
      <c r="F13" s="10" t="n"/>
      <c r="G13" s="8">
        <f>IF(AND(E13&lt;&gt;"Done",D13&lt;README!$B$4),"Yes","No")</f>
        <v/>
      </c>
    </row>
    <row r="14">
      <c r="A14" s="8" t="inlineStr">
        <is>
          <t>POAM-004</t>
        </is>
      </c>
      <c r="B14" s="8" t="inlineStr">
        <is>
          <t>M1</t>
        </is>
      </c>
      <c r="C14" s="9" t="inlineStr">
        <is>
          <t>Revoke duplicate, transferred, and inactive access (AR-EX-12/13/14)</t>
        </is>
      </c>
      <c r="D14" s="10" t="n">
        <v>46220</v>
      </c>
      <c r="E14" s="8" t="inlineStr">
        <is>
          <t>Done</t>
        </is>
      </c>
      <c r="F14" s="10" t="n">
        <v>46217</v>
      </c>
      <c r="G14" s="8">
        <f>IF(AND(E14&lt;&gt;"Done",D14&lt;README!$B$4),"Yes","No")</f>
        <v/>
      </c>
    </row>
    <row r="15">
      <c r="A15" s="8" t="inlineStr">
        <is>
          <t>POAM-004</t>
        </is>
      </c>
      <c r="B15" s="8" t="inlineStr">
        <is>
          <t>M2</t>
        </is>
      </c>
      <c r="C15" s="9" t="inlineStr">
        <is>
          <t>Add transfer trigger to SOP-IAM-02 (re-baseline access within 5 business days)</t>
        </is>
      </c>
      <c r="D15" s="10" t="n">
        <v>46262</v>
      </c>
      <c r="E15" s="8" t="inlineStr">
        <is>
          <t>Done</t>
        </is>
      </c>
      <c r="F15" s="10" t="n">
        <v>46259</v>
      </c>
      <c r="G15" s="8">
        <f>IF(AND(E15&lt;&gt;"Done",D15&lt;README!$B$4),"Yes","No")</f>
        <v/>
      </c>
    </row>
    <row r="16">
      <c r="A16" s="8" t="inlineStr">
        <is>
          <t>POAM-004</t>
        </is>
      </c>
      <c r="B16" s="8" t="inlineStr">
        <is>
          <t>M3</t>
        </is>
      </c>
      <c r="C16" s="9" t="inlineStr">
        <is>
          <t>Run Q3 privileged certification on new design (EVID-074)</t>
        </is>
      </c>
      <c r="D16" s="10" t="n">
        <v>46295</v>
      </c>
      <c r="E16" s="8" t="inlineStr">
        <is>
          <t>In Progress</t>
        </is>
      </c>
      <c r="F16" s="10" t="n"/>
      <c r="G16" s="8">
        <f>IF(AND(E16&lt;&gt;"Done",D16&lt;README!$B$4),"Yes","No")</f>
        <v/>
      </c>
    </row>
    <row r="17">
      <c r="A17" s="8" t="inlineStr">
        <is>
          <t>POAM-004</t>
        </is>
      </c>
      <c r="B17" s="8" t="inlineStr">
        <is>
          <t>M4</t>
        </is>
      </c>
      <c r="C17" s="9" t="inlineStr">
        <is>
          <t>Assessor validation: review Q3 campaign decisions for flagged items and rationale quality</t>
        </is>
      </c>
      <c r="D17" s="10" t="n">
        <v>46326</v>
      </c>
      <c r="E17" s="8" t="inlineStr">
        <is>
          <t>Not Started</t>
        </is>
      </c>
      <c r="F17" s="10" t="n"/>
      <c r="G17" s="8">
        <f>IF(AND(E17&lt;&gt;"Done",D17&lt;README!$B$4),"Yes","No")</f>
        <v/>
      </c>
    </row>
    <row r="18">
      <c r="A18" s="8" t="inlineStr">
        <is>
          <t>POAM-005</t>
        </is>
      </c>
      <c r="B18" s="8" t="inlineStr">
        <is>
          <t>M1</t>
        </is>
      </c>
      <c r="C18" s="9" t="inlineStr">
        <is>
          <t>Assign owners to all 13 non-human accounts; add fields to register</t>
        </is>
      </c>
      <c r="D18" s="10" t="n">
        <v>46255</v>
      </c>
      <c r="E18" s="8" t="inlineStr">
        <is>
          <t>Done</t>
        </is>
      </c>
      <c r="F18" s="10" t="n">
        <v>46252</v>
      </c>
      <c r="G18" s="8">
        <f>IF(AND(E18&lt;&gt;"Done",D18&lt;README!$B$4),"Yes","No")</f>
        <v/>
      </c>
    </row>
    <row r="19">
      <c r="A19" s="8" t="inlineStr">
        <is>
          <t>POAM-005</t>
        </is>
      </c>
      <c r="B19" s="8" t="inlineStr">
        <is>
          <t>M2</t>
        </is>
      </c>
      <c r="C19" s="9" t="inlineStr">
        <is>
          <t>Rotate svc-quarrystone-sftp key (AR-EX-18)</t>
        </is>
      </c>
      <c r="D19" s="10" t="n">
        <v>46262</v>
      </c>
      <c r="E19" s="8" t="inlineStr">
        <is>
          <t>Done</t>
        </is>
      </c>
      <c r="F19" s="10" t="n">
        <v>46259</v>
      </c>
      <c r="G19" s="8">
        <f>IF(AND(E19&lt;&gt;"Done",D19&lt;README!$B$4),"Yes","No")</f>
        <v/>
      </c>
    </row>
    <row r="20">
      <c r="A20" s="8" t="inlineStr">
        <is>
          <t>POAM-005</t>
        </is>
      </c>
      <c r="B20" s="8" t="inlineStr">
        <is>
          <t>M3</t>
        </is>
      </c>
      <c r="C20" s="9" t="inlineStr">
        <is>
          <t>Replace ironpeak-soc shared login with 6 named federated accounts (AR-EX-20)</t>
        </is>
      </c>
      <c r="D20" s="10" t="n">
        <v>46269</v>
      </c>
      <c r="E20" s="8" t="inlineStr">
        <is>
          <t>Done</t>
        </is>
      </c>
      <c r="F20" s="10" t="n">
        <v>46265</v>
      </c>
      <c r="G20" s="8">
        <f>IF(AND(E20&lt;&gt;"Done",D20&lt;README!$B$4),"Yes","No")</f>
        <v/>
      </c>
    </row>
    <row r="21">
      <c r="A21" s="8" t="inlineStr">
        <is>
          <t>POAM-005</t>
        </is>
      </c>
      <c r="B21" s="8" t="inlineStr">
        <is>
          <t>M4</t>
        </is>
      </c>
      <c r="C21" s="9" t="inlineStr">
        <is>
          <t>Migrate svc-reporting-etl to IAM role; delete IAM user (AR-EX-19)</t>
        </is>
      </c>
      <c r="D21" s="10" t="n">
        <v>46276</v>
      </c>
      <c r="E21" s="8" t="inlineStr">
        <is>
          <t>Done</t>
        </is>
      </c>
      <c r="F21" s="10" t="n">
        <v>46268</v>
      </c>
      <c r="G21" s="8">
        <f>IF(AND(E21&lt;&gt;"Done",D21&lt;README!$B$4),"Yes","No")</f>
        <v/>
      </c>
    </row>
    <row r="22">
      <c r="A22" s="8" t="inlineStr">
        <is>
          <t>POAM-005</t>
        </is>
      </c>
      <c r="B22" s="8" t="inlineStr">
        <is>
          <t>M5</t>
        </is>
      </c>
      <c r="C22" s="9" t="inlineStr">
        <is>
          <t>Assessor validation: register re-test (owner + credential age) and IAM credential report</t>
        </is>
      </c>
      <c r="D22" s="10" t="n">
        <v>46277</v>
      </c>
      <c r="E22" s="8" t="inlineStr">
        <is>
          <t>Done</t>
        </is>
      </c>
      <c r="F22" s="10" t="n">
        <v>46277</v>
      </c>
      <c r="G22" s="8">
        <f>IF(AND(E22&lt;&gt;"Done",D22&lt;README!$B$4),"Yes","No")</f>
        <v/>
      </c>
    </row>
    <row r="23">
      <c r="A23" s="8" t="inlineStr">
        <is>
          <t>POAM-006</t>
        </is>
      </c>
      <c r="B23" s="8" t="inlineStr">
        <is>
          <t>M1</t>
        </is>
      </c>
      <c r="C23" s="9" t="inlineStr">
        <is>
          <t>Execute SOW amendment for awu; revoke out-of-scope PHI access (AR-EX-15/16)</t>
        </is>
      </c>
      <c r="D23" s="10" t="n">
        <v>46227</v>
      </c>
      <c r="E23" s="8" t="inlineStr">
        <is>
          <t>Done</t>
        </is>
      </c>
      <c r="F23" s="10" t="n">
        <v>46225</v>
      </c>
      <c r="G23" s="8">
        <f>IF(AND(E23&lt;&gt;"Done",D23&lt;README!$B$4),"Yes","No")</f>
        <v/>
      </c>
    </row>
    <row r="24">
      <c r="A24" s="8" t="inlineStr">
        <is>
          <t>POAM-006</t>
        </is>
      </c>
      <c r="B24" s="8" t="inlineStr">
        <is>
          <t>M2</t>
        </is>
      </c>
      <c r="C24" s="9" t="inlineStr">
        <is>
          <t>Set Okta expiry for all contractor accounts; add SOW-scope field to access request form</t>
        </is>
      </c>
      <c r="D24" s="10" t="n">
        <v>46262</v>
      </c>
      <c r="E24" s="8" t="inlineStr">
        <is>
          <t>Done</t>
        </is>
      </c>
      <c r="F24" s="10" t="n">
        <v>46258</v>
      </c>
      <c r="G24" s="8">
        <f>IF(AND(E24&lt;&gt;"Done",D24&lt;README!$B$4),"Yes","No")</f>
        <v/>
      </c>
    </row>
    <row r="25">
      <c r="A25" s="8" t="inlineStr">
        <is>
          <t>POAM-006</t>
        </is>
      </c>
      <c r="B25" s="8" t="inlineStr">
        <is>
          <t>M3</t>
        </is>
      </c>
      <c r="C25" s="9" t="inlineStr">
        <is>
          <t>Assessor validation: expiry report vs SOW register</t>
        </is>
      </c>
      <c r="D25" s="10" t="n">
        <v>46275</v>
      </c>
      <c r="E25" s="8" t="inlineStr">
        <is>
          <t>Done</t>
        </is>
      </c>
      <c r="F25" s="10" t="n">
        <v>46273</v>
      </c>
      <c r="G25" s="8">
        <f>IF(AND(E25&lt;&gt;"Done",D25&lt;README!$B$4),"Yes","No")</f>
        <v/>
      </c>
    </row>
    <row r="26">
      <c r="A26" s="8" t="inlineStr">
        <is>
          <t>POAM-007</t>
        </is>
      </c>
      <c r="B26" s="8" t="inlineStr">
        <is>
          <t>M1</t>
        </is>
      </c>
      <c r="C26" s="9" t="inlineStr">
        <is>
          <t>Sign RACC-001 (CFO as risk owner; CISO concurrence)</t>
        </is>
      </c>
      <c r="D26" s="10" t="n">
        <v>46248</v>
      </c>
      <c r="E26" s="8" t="inlineStr">
        <is>
          <t>Done</t>
        </is>
      </c>
      <c r="F26" s="10" t="n">
        <v>46246</v>
      </c>
      <c r="G26" s="8">
        <f>IF(AND(E26&lt;&gt;"Done",D26&lt;README!$B$4),"Yes","No")</f>
        <v/>
      </c>
    </row>
    <row r="27">
      <c r="A27" s="8" t="inlineStr">
        <is>
          <t>POAM-007</t>
        </is>
      </c>
      <c r="B27" s="8" t="inlineStr">
        <is>
          <t>M2</t>
        </is>
      </c>
      <c r="C27" s="9" t="inlineStr">
        <is>
          <t>Continue monthly compensating review (evidence each month to GRC)</t>
        </is>
      </c>
      <c r="D27" s="10" t="n">
        <v>46477</v>
      </c>
      <c r="E27" s="8" t="inlineStr">
        <is>
          <t>In Progress</t>
        </is>
      </c>
      <c r="F27" s="10" t="n"/>
      <c r="G27" s="8">
        <f>IF(AND(E27&lt;&gt;"Done",D27&lt;README!$B$4),"Yes","No")</f>
        <v/>
      </c>
    </row>
    <row r="28">
      <c r="A28" s="8" t="inlineStr">
        <is>
          <t>POAM-007</t>
        </is>
      </c>
      <c r="B28" s="8" t="inlineStr">
        <is>
          <t>M3</t>
        </is>
      </c>
      <c r="C28" s="9" t="inlineStr">
        <is>
          <t>Split roles at AP backfill (requisition open)</t>
        </is>
      </c>
      <c r="D28" s="10" t="n">
        <v>46477</v>
      </c>
      <c r="E28" s="8" t="inlineStr">
        <is>
          <t>Not Started</t>
        </is>
      </c>
      <c r="F28" s="10" t="n"/>
      <c r="G28" s="8">
        <f>IF(AND(E28&lt;&gt;"Done",D28&lt;README!$B$4),"Yes","No")</f>
        <v/>
      </c>
    </row>
    <row r="29">
      <c r="A29" s="8" t="inlineStr">
        <is>
          <t>POAM-008</t>
        </is>
      </c>
      <c r="B29" s="8" t="inlineStr">
        <is>
          <t>M1</t>
        </is>
      </c>
      <c r="C29" s="9" t="inlineStr">
        <is>
          <t>Change S3 lifecycle to 400-day expiry with Glacier IR after 90d (CHG-2026-0702)</t>
        </is>
      </c>
      <c r="D29" s="10" t="n">
        <v>46255</v>
      </c>
      <c r="E29" s="8" t="inlineStr">
        <is>
          <t>Done</t>
        </is>
      </c>
      <c r="F29" s="10" t="n">
        <v>46253</v>
      </c>
      <c r="G29" s="8">
        <f>IF(AND(E29&lt;&gt;"Done",D29&lt;README!$B$4),"Yes","No")</f>
        <v/>
      </c>
    </row>
    <row r="30">
      <c r="A30" s="8" t="inlineStr">
        <is>
          <t>POAM-008</t>
        </is>
      </c>
      <c r="B30" s="8" t="inlineStr">
        <is>
          <t>M2</t>
        </is>
      </c>
      <c r="C30" s="9" t="inlineStr">
        <is>
          <t>Subscribe app-audit CloudWatch logs to log-archive (Firehose)</t>
        </is>
      </c>
      <c r="D30" s="10" t="n">
        <v>46262</v>
      </c>
      <c r="E30" s="8" t="inlineStr">
        <is>
          <t>Done</t>
        </is>
      </c>
      <c r="F30" s="10" t="n">
        <v>46261</v>
      </c>
      <c r="G30" s="8">
        <f>IF(AND(E30&lt;&gt;"Done",D30&lt;README!$B$4),"Yes","No")</f>
        <v/>
      </c>
    </row>
    <row r="31">
      <c r="A31" s="8" t="inlineStr">
        <is>
          <t>POAM-008</t>
        </is>
      </c>
      <c r="B31" s="8" t="inlineStr">
        <is>
          <t>M3</t>
        </is>
      </c>
      <c r="C31" s="9" t="inlineStr">
        <is>
          <t>Assessor validation: config inspection + oldest-object query</t>
        </is>
      </c>
      <c r="D31" s="10" t="n">
        <v>46280</v>
      </c>
      <c r="E31" s="8" t="inlineStr">
        <is>
          <t>Done</t>
        </is>
      </c>
      <c r="F31" s="10" t="n">
        <v>46277</v>
      </c>
      <c r="G31" s="8">
        <f>IF(AND(E31&lt;&gt;"Done",D31&lt;README!$B$4),"Yes","No")</f>
        <v/>
      </c>
    </row>
    <row r="32">
      <c r="A32" s="8" t="inlineStr">
        <is>
          <t>POAM-009</t>
        </is>
      </c>
      <c r="B32" s="8" t="inlineStr">
        <is>
          <t>M1</t>
        </is>
      </c>
      <c r="C32" s="9" t="inlineStr">
        <is>
          <t>Expand SIEM report scope to all privileged principals incl. IAM users</t>
        </is>
      </c>
      <c r="D32" s="10" t="n">
        <v>46255</v>
      </c>
      <c r="E32" s="8" t="inlineStr">
        <is>
          <t>Done</t>
        </is>
      </c>
      <c r="F32" s="10" t="n">
        <v>46248</v>
      </c>
      <c r="G32" s="8">
        <f>IF(AND(E32&lt;&gt;"Done",D32&lt;README!$B$4),"Yes","No")</f>
        <v/>
      </c>
    </row>
    <row r="33">
      <c r="A33" s="8" t="inlineStr">
        <is>
          <t>POAM-009</t>
        </is>
      </c>
      <c r="B33" s="8" t="inlineStr">
        <is>
          <t>M2</t>
        </is>
      </c>
      <c r="C33" s="9" t="inlineStr">
        <is>
          <t>Auto-create weekly review ticket with escalation to CISO at 5 business days</t>
        </is>
      </c>
      <c r="D33" s="10" t="n">
        <v>46262</v>
      </c>
      <c r="E33" s="8" t="inlineStr">
        <is>
          <t>Done</t>
        </is>
      </c>
      <c r="F33" s="10" t="n">
        <v>46262</v>
      </c>
      <c r="G33" s="8">
        <f>IF(AND(E33&lt;&gt;"Done",D33&lt;README!$B$4),"Yes","No")</f>
        <v/>
      </c>
    </row>
    <row r="34">
      <c r="A34" s="8" t="inlineStr">
        <is>
          <t>POAM-009</t>
        </is>
      </c>
      <c r="B34" s="8" t="inlineStr">
        <is>
          <t>M3</t>
        </is>
      </c>
      <c r="C34" s="9" t="inlineStr">
        <is>
          <t>Execute MDR SOW change for backup reviewer</t>
        </is>
      </c>
      <c r="D34" s="10" t="n">
        <v>46276</v>
      </c>
      <c r="E34" s="8" t="inlineStr">
        <is>
          <t>Delayed</t>
        </is>
      </c>
      <c r="F34" s="10" t="n"/>
      <c r="G34" s="8">
        <f>IF(AND(E34&lt;&gt;"Done",D34&lt;README!$B$4),"Yes","No")</f>
        <v/>
      </c>
    </row>
    <row r="35">
      <c r="A35" s="8" t="inlineStr">
        <is>
          <t>POAM-009</t>
        </is>
      </c>
      <c r="B35" s="8" t="inlineStr">
        <is>
          <t>M4</t>
        </is>
      </c>
      <c r="C35" s="9" t="inlineStr">
        <is>
          <t>Assessor validation: W27–W37 reviews (EVID-072)</t>
        </is>
      </c>
      <c r="D35" s="10" t="n">
        <v>46280</v>
      </c>
      <c r="E35" s="8" t="inlineStr">
        <is>
          <t>Not Started</t>
        </is>
      </c>
      <c r="F35" s="10" t="n"/>
      <c r="G35" s="8">
        <f>IF(AND(E35&lt;&gt;"Done",D35&lt;README!$B$4),"Yes","No")</f>
        <v/>
      </c>
    </row>
    <row r="36">
      <c r="A36" s="8" t="inlineStr">
        <is>
          <t>POAM-010</t>
        </is>
      </c>
      <c r="B36" s="8" t="inlineStr">
        <is>
          <t>M1</t>
        </is>
      </c>
      <c r="C36" s="9" t="inlineStr">
        <is>
          <t>Submit VM-003 §7 exception for 2 notify-worker criticals with reachability analysis (CISO decision)</t>
        </is>
      </c>
      <c r="D36" s="10" t="n">
        <v>46255</v>
      </c>
      <c r="E36" s="8" t="inlineStr">
        <is>
          <t>Done</t>
        </is>
      </c>
      <c r="F36" s="10" t="n">
        <v>46254</v>
      </c>
      <c r="G36" s="8">
        <f>IF(AND(E36&lt;&gt;"Done",D36&lt;README!$B$4),"Yes","No")</f>
        <v/>
      </c>
    </row>
    <row r="37">
      <c r="A37" s="8" t="inlineStr">
        <is>
          <t>POAM-010</t>
        </is>
      </c>
      <c r="B37" s="8" t="inlineStr">
        <is>
          <t>M2</t>
        </is>
      </c>
      <c r="C37" s="9" t="inlineStr">
        <is>
          <t>Upgrade notify-worker to supported Node.js LTS + current base image</t>
        </is>
      </c>
      <c r="D37" s="10" t="n">
        <v>46295</v>
      </c>
      <c r="E37" s="8" t="inlineStr">
        <is>
          <t>In Progress</t>
        </is>
      </c>
      <c r="F37" s="10" t="n"/>
      <c r="G37" s="8">
        <f>IF(AND(E37&lt;&gt;"Done",D37&lt;README!$B$4),"Yes","No")</f>
        <v/>
      </c>
    </row>
    <row r="38">
      <c r="A38" s="8" t="inlineStr">
        <is>
          <t>POAM-010</t>
        </is>
      </c>
      <c r="B38" s="8" t="inlineStr">
        <is>
          <t>M3</t>
        </is>
      </c>
      <c r="C38" s="9" t="inlineStr">
        <is>
          <t>SLA-breach dashboard reviewed in weekly engineering leads meeting</t>
        </is>
      </c>
      <c r="D38" s="10" t="n">
        <v>46280</v>
      </c>
      <c r="E38" s="8" t="inlineStr">
        <is>
          <t>Done</t>
        </is>
      </c>
      <c r="F38" s="10" t="n">
        <v>46274</v>
      </c>
      <c r="G38" s="8">
        <f>IF(AND(E38&lt;&gt;"Done",D38&lt;README!$B$4),"Yes","No")</f>
        <v/>
      </c>
    </row>
    <row r="39">
      <c r="A39" s="8" t="inlineStr">
        <is>
          <t>POAM-010</t>
        </is>
      </c>
      <c r="B39" s="8" t="inlineStr">
        <is>
          <t>M4</t>
        </is>
      </c>
      <c r="C39" s="9" t="inlineStr">
        <is>
          <t>Tag-policy SCP denying untagged EC2/EKS launches (OBS-02)</t>
        </is>
      </c>
      <c r="D39" s="10" t="n">
        <v>46310</v>
      </c>
      <c r="E39" s="8" t="inlineStr">
        <is>
          <t>Not Started</t>
        </is>
      </c>
      <c r="F39" s="10" t="n"/>
      <c r="G39" s="8">
        <f>IF(AND(E39&lt;&gt;"Done",D39&lt;README!$B$4),"Yes","No")</f>
        <v/>
      </c>
    </row>
    <row r="40">
      <c r="A40" s="8" t="inlineStr">
        <is>
          <t>POAM-010</t>
        </is>
      </c>
      <c r="B40" s="8" t="inlineStr">
        <is>
          <t>M5</t>
        </is>
      </c>
      <c r="C40" s="9" t="inlineStr">
        <is>
          <t>Assessor validation: re-run SLA test on Q3 population</t>
        </is>
      </c>
      <c r="D40" s="10" t="n">
        <v>46331</v>
      </c>
      <c r="E40" s="8" t="inlineStr">
        <is>
          <t>Not Started</t>
        </is>
      </c>
      <c r="F40" s="10" t="n"/>
      <c r="G40" s="8">
        <f>IF(AND(E40&lt;&gt;"Done",D40&lt;README!$B$4),"Yes","No")</f>
        <v/>
      </c>
    </row>
    <row r="41">
      <c r="A41" s="8" t="inlineStr">
        <is>
          <t>POAM-011</t>
        </is>
      </c>
      <c r="B41" s="8" t="inlineStr">
        <is>
          <t>M1</t>
        </is>
      </c>
      <c r="C41" s="9" t="inlineStr">
        <is>
          <t>Stand up managed transfer service (IaC) and test with Quarrystone</t>
        </is>
      </c>
      <c r="D41" s="10" t="n">
        <v>46262</v>
      </c>
      <c r="E41" s="8" t="inlineStr">
        <is>
          <t>Done</t>
        </is>
      </c>
      <c r="F41" s="10" t="n">
        <v>46260</v>
      </c>
      <c r="G41" s="8">
        <f>IF(AND(E41&lt;&gt;"Done",D41&lt;README!$B$4),"Yes","No")</f>
        <v/>
      </c>
    </row>
    <row r="42">
      <c r="A42" s="8" t="inlineStr">
        <is>
          <t>POAM-011</t>
        </is>
      </c>
      <c r="B42" s="8" t="inlineStr">
        <is>
          <t>M2</t>
        </is>
      </c>
      <c r="C42" s="9" t="inlineStr">
        <is>
          <t>Cut over Quarrystone + 4 customers; decommission wf-sftp-01</t>
        </is>
      </c>
      <c r="D42" s="10" t="n">
        <v>46280</v>
      </c>
      <c r="E42" s="8" t="inlineStr">
        <is>
          <t>Delayed</t>
        </is>
      </c>
      <c r="F42" s="10" t="n"/>
      <c r="G42" s="8">
        <f>IF(AND(E42&lt;&gt;"Done",D42&lt;README!$B$4),"Yes","No")</f>
        <v/>
      </c>
    </row>
    <row r="43">
      <c r="A43" s="8" t="inlineStr">
        <is>
          <t>POAM-011</t>
        </is>
      </c>
      <c r="B43" s="8" t="inlineStr">
        <is>
          <t>M3</t>
        </is>
      </c>
      <c r="C43" s="9" t="inlineStr">
        <is>
          <t>Migrate legacy-reports to Aurora read replica; decommission EC2 host</t>
        </is>
      </c>
      <c r="D43" s="10" t="n">
        <v>46325</v>
      </c>
      <c r="E43" s="8" t="inlineStr">
        <is>
          <t>In Progress</t>
        </is>
      </c>
      <c r="F43" s="10" t="n"/>
      <c r="G43" s="8">
        <f>IF(AND(E43&lt;&gt;"Done",D43&lt;README!$B$4),"Yes","No")</f>
        <v/>
      </c>
    </row>
    <row r="44">
      <c r="A44" s="8" t="inlineStr">
        <is>
          <t>POAM-011</t>
        </is>
      </c>
      <c r="B44" s="8" t="inlineStr">
        <is>
          <t>M4</t>
        </is>
      </c>
      <c r="C44" s="9" t="inlineStr">
        <is>
          <t>Assessor validation: inventory shows 0 unsupported components; hosts terminated</t>
        </is>
      </c>
      <c r="D44" s="10" t="n">
        <v>46371</v>
      </c>
      <c r="E44" s="8" t="inlineStr">
        <is>
          <t>Not Started</t>
        </is>
      </c>
      <c r="F44" s="10" t="n"/>
      <c r="G44" s="8">
        <f>IF(AND(E44&lt;&gt;"Done",D44&lt;README!$B$4),"Yes","No")</f>
        <v/>
      </c>
    </row>
    <row r="45">
      <c r="A45" s="8" t="inlineStr">
        <is>
          <t>POAM-012</t>
        </is>
      </c>
      <c r="B45" s="8" t="inlineStr">
        <is>
          <t>M1</t>
        </is>
      </c>
      <c r="C45" s="9" t="inlineStr">
        <is>
          <t>Remove 3389 ingress rule; confirm SSM-only admin (CHG-2026-0521); review Windows 4624 type-10 logons</t>
        </is>
      </c>
      <c r="D45" s="10" t="n">
        <v>46206</v>
      </c>
      <c r="E45" s="8" t="inlineStr">
        <is>
          <t>Done</t>
        </is>
      </c>
      <c r="F45" s="10" t="n">
        <v>46206</v>
      </c>
      <c r="G45" s="8">
        <f>IF(AND(E45&lt;&gt;"Done",D45&lt;README!$B$4),"Yes","No")</f>
        <v/>
      </c>
    </row>
    <row r="46">
      <c r="A46" s="8" t="inlineStr">
        <is>
          <t>POAM-012</t>
        </is>
      </c>
      <c r="B46" s="8" t="inlineStr">
        <is>
          <t>M2</t>
        </is>
      </c>
      <c r="C46" s="9" t="inlineStr">
        <is>
          <t>Route Security Hub High findings to SRE on-call queue</t>
        </is>
      </c>
      <c r="D46" s="10" t="n">
        <v>46211</v>
      </c>
      <c r="E46" s="8" t="inlineStr">
        <is>
          <t>Done</t>
        </is>
      </c>
      <c r="F46" s="10" t="n">
        <v>46210</v>
      </c>
      <c r="G46" s="8">
        <f>IF(AND(E46&lt;&gt;"Done",D46&lt;README!$B$4),"Yes","No")</f>
        <v/>
      </c>
    </row>
    <row r="47">
      <c r="A47" s="8" t="inlineStr">
        <is>
          <t>POAM-012</t>
        </is>
      </c>
      <c r="B47" s="8" t="inlineStr">
        <is>
          <t>M3</t>
        </is>
      </c>
      <c r="C47" s="9" t="inlineStr">
        <is>
          <t>Deploy SCP guardrail for admin ports from 0.0.0.0/0</t>
        </is>
      </c>
      <c r="D47" s="10" t="n">
        <v>46213</v>
      </c>
      <c r="E47" s="8" t="inlineStr">
        <is>
          <t>Done</t>
        </is>
      </c>
      <c r="F47" s="10" t="n">
        <v>46212</v>
      </c>
      <c r="G47" s="8">
        <f>IF(AND(E47&lt;&gt;"Done",D47&lt;README!$B$4),"Yes","No")</f>
        <v/>
      </c>
    </row>
    <row r="48">
      <c r="A48" s="8" t="inlineStr">
        <is>
          <t>POAM-012</t>
        </is>
      </c>
      <c r="B48" s="8" t="inlineStr">
        <is>
          <t>M4</t>
        </is>
      </c>
      <c r="C48" s="9" t="inlineStr">
        <is>
          <t>Assessor validation: SG export, Security Hub PASSED, guardrail test</t>
        </is>
      </c>
      <c r="D48" s="10" t="n">
        <v>46213</v>
      </c>
      <c r="E48" s="8" t="inlineStr">
        <is>
          <t>Done</t>
        </is>
      </c>
      <c r="F48" s="10" t="n">
        <v>46213</v>
      </c>
      <c r="G48" s="8">
        <f>IF(AND(E48&lt;&gt;"Done",D48&lt;README!$B$4),"Yes","No")</f>
        <v/>
      </c>
    </row>
    <row r="49">
      <c r="A49" s="8" t="inlineStr">
        <is>
          <t>POAM-013</t>
        </is>
      </c>
      <c r="B49" s="8" t="inlineStr">
        <is>
          <t>M1</t>
        </is>
      </c>
      <c r="C49" s="9" t="inlineStr">
        <is>
          <t>Write restore runbook and integrity-check queries</t>
        </is>
      </c>
      <c r="D49" s="10" t="n">
        <v>46255</v>
      </c>
      <c r="E49" s="8" t="inlineStr">
        <is>
          <t>Done</t>
        </is>
      </c>
      <c r="F49" s="10" t="n">
        <v>46253</v>
      </c>
      <c r="G49" s="8">
        <f>IF(AND(E49&lt;&gt;"Done",D49&lt;README!$B$4),"Yes","No")</f>
        <v/>
      </c>
    </row>
    <row r="50">
      <c r="A50" s="8" t="inlineStr">
        <is>
          <t>POAM-013</t>
        </is>
      </c>
      <c r="B50" s="8" t="inlineStr">
        <is>
          <t>M2</t>
        </is>
      </c>
      <c r="C50" s="9" t="inlineStr">
        <is>
          <t>Perform restore test (assessor observes)</t>
        </is>
      </c>
      <c r="D50" s="10" t="n">
        <v>46262</v>
      </c>
      <c r="E50" s="8" t="inlineStr">
        <is>
          <t>Done</t>
        </is>
      </c>
      <c r="F50" s="10" t="n">
        <v>46261</v>
      </c>
      <c r="G50" s="8">
        <f>IF(AND(E50&lt;&gt;"Done",D50&lt;README!$B$4),"Yes","No")</f>
        <v/>
      </c>
    </row>
    <row r="51">
      <c r="A51" s="8" t="inlineStr">
        <is>
          <t>POAM-013</t>
        </is>
      </c>
      <c r="B51" s="8" t="inlineStr">
        <is>
          <t>M3</t>
        </is>
      </c>
      <c r="C51" s="9" t="inlineStr">
        <is>
          <t>Add semi-annual restore test to BCP-003 calendar; assessor validation</t>
        </is>
      </c>
      <c r="D51" s="10" t="n">
        <v>46266</v>
      </c>
      <c r="E51" s="8" t="inlineStr">
        <is>
          <t>Done</t>
        </is>
      </c>
      <c r="F51" s="10" t="n">
        <v>46266</v>
      </c>
      <c r="G51" s="8">
        <f>IF(AND(E51&lt;&gt;"Done",D51&lt;README!$B$4),"Yes","No")</f>
        <v/>
      </c>
    </row>
    <row r="52">
      <c r="A52" s="8" t="inlineStr">
        <is>
          <t>POAM-014</t>
        </is>
      </c>
      <c r="B52" s="8" t="inlineStr">
        <is>
          <t>M1</t>
        </is>
      </c>
      <c r="C52" s="9" t="inlineStr">
        <is>
          <t>Update IRP-005: SHCA 24h notification step + current roster (OBS-03)</t>
        </is>
      </c>
      <c r="D52" s="10" t="n">
        <v>46280</v>
      </c>
      <c r="E52" s="8" t="inlineStr">
        <is>
          <t>Done</t>
        </is>
      </c>
      <c r="F52" s="10" t="n">
        <v>46276</v>
      </c>
      <c r="G52" s="8">
        <f>IF(AND(E52&lt;&gt;"Done",D52&lt;README!$B$4),"Yes","No")</f>
        <v/>
      </c>
    </row>
    <row r="53">
      <c r="A53" s="8" t="inlineStr">
        <is>
          <t>POAM-014</t>
        </is>
      </c>
      <c r="B53" s="8" t="inlineStr">
        <is>
          <t>M2</t>
        </is>
      </c>
      <c r="C53" s="9" t="inlineStr">
        <is>
          <t>Conduct ransomware tabletop (IR + CP)</t>
        </is>
      </c>
      <c r="D53" s="10" t="n">
        <v>46309</v>
      </c>
      <c r="E53" s="8" t="inlineStr">
        <is>
          <t>Not Started</t>
        </is>
      </c>
      <c r="F53" s="10" t="n"/>
      <c r="G53" s="8">
        <f>IF(AND(E53&lt;&gt;"Done",D53&lt;README!$B$4),"Yes","No")</f>
        <v/>
      </c>
    </row>
    <row r="54">
      <c r="A54" s="8" t="inlineStr">
        <is>
          <t>POAM-014</t>
        </is>
      </c>
      <c r="B54" s="8" t="inlineStr">
        <is>
          <t>M3</t>
        </is>
      </c>
      <c r="C54" s="9" t="inlineStr">
        <is>
          <t>Publish after-action report; add corrective actions to POA&amp;M</t>
        </is>
      </c>
      <c r="D54" s="10" t="n">
        <v>46325</v>
      </c>
      <c r="E54" s="8" t="inlineStr">
        <is>
          <t>Not Started</t>
        </is>
      </c>
      <c r="F54" s="10" t="n"/>
      <c r="G54" s="8">
        <f>IF(AND(E54&lt;&gt;"Done",D54&lt;README!$B$4),"Yes","No")</f>
        <v/>
      </c>
    </row>
    <row r="55">
      <c r="A55" s="8" t="inlineStr">
        <is>
          <t>POAM-014</t>
        </is>
      </c>
      <c r="B55" s="8" t="inlineStr">
        <is>
          <t>M4</t>
        </is>
      </c>
      <c r="C55" s="9" t="inlineStr">
        <is>
          <t>Assessor validation</t>
        </is>
      </c>
      <c r="D55" s="10" t="n">
        <v>46341</v>
      </c>
      <c r="E55" s="8" t="inlineStr">
        <is>
          <t>Not Started</t>
        </is>
      </c>
      <c r="F55" s="10" t="n"/>
      <c r="G55" s="8">
        <f>IF(AND(E55&lt;&gt;"Done",D55&lt;README!$B$4),"Yes","No")</f>
        <v/>
      </c>
    </row>
    <row r="56">
      <c r="A56" s="8" t="inlineStr">
        <is>
          <t>POAM-015</t>
        </is>
      </c>
      <c r="B56" s="8" t="inlineStr">
        <is>
          <t>M1</t>
        </is>
      </c>
      <c r="C56" s="9" t="inlineStr">
        <is>
          <t>Assess Tier 1 overdue vendors (Pulsewire, Ironpeak)</t>
        </is>
      </c>
      <c r="D56" s="10" t="n">
        <v>46356</v>
      </c>
      <c r="E56" s="8" t="inlineStr">
        <is>
          <t>In Progress</t>
        </is>
      </c>
      <c r="F56" s="10" t="n"/>
      <c r="G56" s="8">
        <f>IF(AND(E56&lt;&gt;"Done",D56&lt;README!$B$4),"Yes","No")</f>
        <v/>
      </c>
    </row>
    <row r="57">
      <c r="A57" s="8" t="inlineStr">
        <is>
          <t>POAM-015</t>
        </is>
      </c>
      <c r="B57" s="8" t="inlineStr">
        <is>
          <t>M2</t>
        </is>
      </c>
      <c r="C57" s="9" t="inlineStr">
        <is>
          <t>Fourth-party inventory from updated questionnaires (all Tier 1)</t>
        </is>
      </c>
      <c r="D57" s="10" t="n">
        <v>46371</v>
      </c>
      <c r="E57" s="8" t="inlineStr">
        <is>
          <t>Not Started</t>
        </is>
      </c>
      <c r="F57" s="10" t="n"/>
      <c r="G57" s="8">
        <f>IF(AND(E57&lt;&gt;"Done",D57&lt;README!$B$4),"Yes","No")</f>
        <v/>
      </c>
    </row>
    <row r="58">
      <c r="A58" s="8" t="inlineStr">
        <is>
          <t>POAM-015</t>
        </is>
      </c>
      <c r="B58" s="8" t="inlineStr">
        <is>
          <t>M3</t>
        </is>
      </c>
      <c r="C58" s="9" t="inlineStr">
        <is>
          <t>Approve C-SCRM plan</t>
        </is>
      </c>
      <c r="D58" s="10" t="n">
        <v>46402</v>
      </c>
      <c r="E58" s="8" t="inlineStr">
        <is>
          <t>Not Started</t>
        </is>
      </c>
      <c r="F58" s="10" t="n"/>
      <c r="G58" s="8">
        <f>IF(AND(E58&lt;&gt;"Done",D58&lt;README!$B$4),"Yes","No")</f>
        <v/>
      </c>
    </row>
    <row r="59">
      <c r="A59" s="8" t="inlineStr">
        <is>
          <t>POAM-015</t>
        </is>
      </c>
      <c r="B59" s="8" t="inlineStr">
        <is>
          <t>M4</t>
        </is>
      </c>
      <c r="C59" s="9" t="inlineStr">
        <is>
          <t>Assess remaining Tier 2 overdue vendors; assessor validation</t>
        </is>
      </c>
      <c r="D59" s="10" t="n">
        <v>46421</v>
      </c>
      <c r="E59" s="8" t="inlineStr">
        <is>
          <t>Not Started</t>
        </is>
      </c>
      <c r="F59" s="10" t="n"/>
      <c r="G59" s="8">
        <f>IF(AND(E59&lt;&gt;"Done",D59&lt;README!$B$4),"Yes","No")</f>
        <v/>
      </c>
    </row>
    <row r="60">
      <c r="A60" s="8" t="inlineStr">
        <is>
          <t>POAM-016</t>
        </is>
      </c>
      <c r="B60" s="8" t="inlineStr">
        <is>
          <t>M1</t>
        </is>
      </c>
      <c r="C60" s="9" t="inlineStr">
        <is>
          <t>Interim: vendor suspends offshore access to Wrenfield data (letter)</t>
        </is>
      </c>
      <c r="D60" s="10" t="n">
        <v>46227</v>
      </c>
      <c r="E60" s="8" t="inlineStr">
        <is>
          <t>Done</t>
        </is>
      </c>
      <c r="F60" s="10" t="n">
        <v>46227</v>
      </c>
      <c r="G60" s="8">
        <f>IF(AND(E60&lt;&gt;"Done",D60&lt;README!$B$4),"Yes","No")</f>
        <v/>
      </c>
    </row>
    <row r="61">
      <c r="A61" s="8" t="inlineStr">
        <is>
          <t>POAM-016</t>
        </is>
      </c>
      <c r="B61" s="8" t="inlineStr">
        <is>
          <t>M2</t>
        </is>
      </c>
      <c r="C61" s="9" t="inlineStr">
        <is>
          <t>Execute contract amendment (redline v3 in negotiation)</t>
        </is>
      </c>
      <c r="D61" s="10" t="n">
        <v>46295</v>
      </c>
      <c r="E61" s="8" t="inlineStr">
        <is>
          <t>In Progress</t>
        </is>
      </c>
      <c r="F61" s="10" t="n"/>
      <c r="G61" s="8">
        <f>IF(AND(E61&lt;&gt;"Done",D61&lt;README!$B$4),"Yes","No")</f>
        <v/>
      </c>
    </row>
    <row r="62">
      <c r="A62" s="8" t="inlineStr">
        <is>
          <t>POAM-016</t>
        </is>
      </c>
      <c r="B62" s="8" t="inlineStr">
        <is>
          <t>M3</t>
        </is>
      </c>
      <c r="C62" s="9" t="inlineStr">
        <is>
          <t>Deploy minimized, tokenized extract (drop address, phone, email, free text)</t>
        </is>
      </c>
      <c r="D62" s="10" t="n">
        <v>46311</v>
      </c>
      <c r="E62" s="8" t="inlineStr">
        <is>
          <t>In Progress</t>
        </is>
      </c>
      <c r="F62" s="10" t="n"/>
      <c r="G62" s="8">
        <f>IF(AND(E62&lt;&gt;"Done",D62&lt;README!$B$4),"Yes","No")</f>
        <v/>
      </c>
    </row>
    <row r="63">
      <c r="A63" s="8" t="inlineStr">
        <is>
          <t>POAM-016</t>
        </is>
      </c>
      <c r="B63" s="8" t="inlineStr">
        <is>
          <t>M4</t>
        </is>
      </c>
      <c r="C63" s="9" t="inlineStr">
        <is>
          <t>Receive current pentest report + retest letter (EVID-051)</t>
        </is>
      </c>
      <c r="D63" s="10" t="n">
        <v>46325</v>
      </c>
      <c r="E63" s="8" t="inlineStr">
        <is>
          <t>Not Started</t>
        </is>
      </c>
      <c r="F63" s="10" t="n"/>
      <c r="G63" s="8">
        <f>IF(AND(E63&lt;&gt;"Done",D63&lt;README!$B$4),"Yes","No")</f>
        <v/>
      </c>
    </row>
    <row r="64">
      <c r="A64" s="8" t="inlineStr">
        <is>
          <t>POAM-016</t>
        </is>
      </c>
      <c r="B64" s="8" t="inlineStr">
        <is>
          <t>M5</t>
        </is>
      </c>
      <c r="C64" s="9" t="inlineStr">
        <is>
          <t>Assessor validation + vendor risk re-score</t>
        </is>
      </c>
      <c r="D64" s="10" t="n">
        <v>46331</v>
      </c>
      <c r="E64" s="8" t="inlineStr">
        <is>
          <t>Not Started</t>
        </is>
      </c>
      <c r="F64" s="10" t="n"/>
      <c r="G64" s="8">
        <f>IF(AND(E64&lt;&gt;"Done",D64&lt;README!$B$4),"Yes","No")</f>
        <v/>
      </c>
    </row>
    <row r="65">
      <c r="A65" s="8" t="inlineStr">
        <is>
          <t>POAM-017</t>
        </is>
      </c>
      <c r="B65" s="8" t="inlineStr">
        <is>
          <t>M1</t>
        </is>
      </c>
      <c r="C65" s="9" t="inlineStr">
        <is>
          <t>SSP outline on SP 800-18r2 structure; boundary + data flows updated</t>
        </is>
      </c>
      <c r="D65" s="10" t="n">
        <v>46295</v>
      </c>
      <c r="E65" s="8" t="inlineStr">
        <is>
          <t>In Progress</t>
        </is>
      </c>
      <c r="F65" s="10" t="n"/>
      <c r="G65" s="8">
        <f>IF(AND(E65&lt;&gt;"Done",D65&lt;README!$B$4),"Yes","No")</f>
        <v/>
      </c>
    </row>
    <row r="66">
      <c r="A66" s="8" t="inlineStr">
        <is>
          <t>POAM-017</t>
        </is>
      </c>
      <c r="B66" s="8" t="inlineStr">
        <is>
          <t>M2</t>
        </is>
      </c>
      <c r="C66" s="9" t="inlineStr">
        <is>
          <t>Control implementation statements (61 controls) reviewed by owners</t>
        </is>
      </c>
      <c r="D66" s="10" t="n">
        <v>46356</v>
      </c>
      <c r="E66" s="8" t="inlineStr">
        <is>
          <t>Not Started</t>
        </is>
      </c>
      <c r="F66" s="10" t="n"/>
      <c r="G66" s="8">
        <f>IF(AND(E66&lt;&gt;"Done",D66&lt;README!$B$4),"Yes","No")</f>
        <v/>
      </c>
    </row>
    <row r="67">
      <c r="A67" s="8" t="inlineStr">
        <is>
          <t>POAM-017</t>
        </is>
      </c>
      <c r="B67" s="8" t="inlineStr">
        <is>
          <t>M3</t>
        </is>
      </c>
      <c r="C67" s="9" t="inlineStr">
        <is>
          <t>Approval by CTO (system owner); assessor validation</t>
        </is>
      </c>
      <c r="D67" s="10" t="n">
        <v>46371</v>
      </c>
      <c r="E67" s="8" t="inlineStr">
        <is>
          <t>Not Started</t>
        </is>
      </c>
      <c r="F67" s="10" t="n"/>
      <c r="G67" s="8">
        <f>IF(AND(E67&lt;&gt;"Done",D67&lt;README!$B$4),"Yes","No")</f>
        <v/>
      </c>
    </row>
    <row r="68">
      <c r="A68" s="8" t="inlineStr">
        <is>
          <t>POAM-018</t>
        </is>
      </c>
      <c r="B68" s="8" t="inlineStr">
        <is>
          <t>M1</t>
        </is>
      </c>
      <c r="C68" s="9" t="inlineStr">
        <is>
          <t>Retro-approval task automation for emergency changes</t>
        </is>
      </c>
      <c r="D68" s="10" t="n">
        <v>46262</v>
      </c>
      <c r="E68" s="8" t="inlineStr">
        <is>
          <t>Done</t>
        </is>
      </c>
      <c r="F68" s="10" t="n">
        <v>46262</v>
      </c>
      <c r="G68" s="8">
        <f>IF(AND(E68&lt;&gt;"Done",D68&lt;README!$B$4),"Yes","No")</f>
        <v/>
      </c>
    </row>
    <row r="69">
      <c r="A69" s="8" t="inlineStr">
        <is>
          <t>POAM-018</t>
        </is>
      </c>
      <c r="B69" s="8" t="inlineStr">
        <is>
          <t>M2</t>
        </is>
      </c>
      <c r="C69" s="9" t="inlineStr">
        <is>
          <t>EventBridge alerts on console SG/IAM changes to on-call</t>
        </is>
      </c>
      <c r="D69" s="10" t="n">
        <v>46269</v>
      </c>
      <c r="E69" s="8" t="inlineStr">
        <is>
          <t>Not Started</t>
        </is>
      </c>
      <c r="F69" s="10" t="n"/>
      <c r="G69" s="8">
        <f>IF(AND(E69&lt;&gt;"Done",D69&lt;README!$B$4),"Yes","No")</f>
        <v/>
      </c>
    </row>
    <row r="70">
      <c r="A70" s="8" t="inlineStr">
        <is>
          <t>POAM-018</t>
        </is>
      </c>
      <c r="B70" s="8" t="inlineStr">
        <is>
          <t>M3</t>
        </is>
      </c>
      <c r="C70" s="9" t="inlineStr">
        <is>
          <t>Assessor validation: sample of emergency changes since M1 + alert test</t>
        </is>
      </c>
      <c r="D70" s="10" t="n">
        <v>46276</v>
      </c>
      <c r="E70" s="8" t="inlineStr">
        <is>
          <t>Not Started</t>
        </is>
      </c>
      <c r="F70" s="10" t="n"/>
      <c r="G70" s="8">
        <f>IF(AND(E70&lt;&gt;"Done",D70&lt;README!$B$4),"Yes","No")</f>
        <v/>
      </c>
    </row>
    <row r="71">
      <c r="A71" s="8" t="inlineStr">
        <is>
          <t>POAM-019</t>
        </is>
      </c>
      <c r="B71" s="8" t="inlineStr">
        <is>
          <t>M1</t>
        </is>
      </c>
      <c r="C71" s="9" t="inlineStr">
        <is>
          <t>Manager escalation at 14 days; enforcement group rule live</t>
        </is>
      </c>
      <c r="D71" s="10" t="n">
        <v>46255</v>
      </c>
      <c r="E71" s="8" t="inlineStr">
        <is>
          <t>Done</t>
        </is>
      </c>
      <c r="F71" s="10" t="n">
        <v>46254</v>
      </c>
      <c r="G71" s="8">
        <f>IF(AND(E71&lt;&gt;"Done",D71&lt;README!$B$4),"Yes","No")</f>
        <v/>
      </c>
    </row>
    <row r="72">
      <c r="A72" s="8" t="inlineStr">
        <is>
          <t>POAM-019</t>
        </is>
      </c>
      <c r="B72" s="8" t="inlineStr">
        <is>
          <t>M2</t>
        </is>
      </c>
      <c r="C72" s="9" t="inlineStr">
        <is>
          <t>Reach &gt;= 99% (documented leave exceptions)</t>
        </is>
      </c>
      <c r="D72" s="10" t="n">
        <v>46280</v>
      </c>
      <c r="E72" s="8" t="inlineStr">
        <is>
          <t>Done</t>
        </is>
      </c>
      <c r="F72" s="10" t="n">
        <v>46277</v>
      </c>
      <c r="G72" s="8">
        <f>IF(AND(E72&lt;&gt;"Done",D72&lt;README!$B$4),"Yes","No")</f>
        <v/>
      </c>
    </row>
    <row r="73">
      <c r="A73" s="8" t="inlineStr">
        <is>
          <t>POAM-019</t>
        </is>
      </c>
      <c r="B73" s="8" t="inlineStr">
        <is>
          <t>M3</t>
        </is>
      </c>
      <c r="C73" s="9" t="inlineStr">
        <is>
          <t>Assessor validation of EVID-070 (leave records for 3 exceptions)</t>
        </is>
      </c>
      <c r="D73" s="10" t="n">
        <v>46295</v>
      </c>
      <c r="E73" s="8" t="inlineStr">
        <is>
          <t>In Progress</t>
        </is>
      </c>
      <c r="F73" s="10" t="n"/>
      <c r="G73" s="8">
        <f>IF(AND(E73&lt;&gt;"Done",D73&lt;README!$B$4),"Yes","No")</f>
        <v/>
      </c>
    </row>
  </sheetData>
  <autoFilter ref="A1:G73"/>
  <conditionalFormatting sqref="G2:G273">
    <cfRule type="expression" priority="1" dxfId="4">
      <formula>G2="Satisfied"</formula>
    </cfRule>
    <cfRule type="expression" priority="2" dxfId="5">
      <formula>G2="Other Than Satisfied"</formula>
    </cfRule>
    <cfRule type="expression" priority="3" dxfId="4">
      <formula>G2="Closed"</formula>
    </cfRule>
    <cfRule type="expression" priority="4" dxfId="4">
      <formula>G2="Accepted"</formula>
    </cfRule>
    <cfRule type="expression" priority="5" dxfId="6">
      <formula>G2="Risk Accepted"</formula>
    </cfRule>
    <cfRule type="expression" priority="6" dxfId="5">
      <formula>G2="Overdue"</formula>
    </cfRule>
    <cfRule type="expression" priority="7" dxfId="5">
      <formula>G2="Yes"</formula>
    </cfRule>
    <cfRule type="expression" priority="8" dxfId="5">
      <formula>G2="Insufficient"</formula>
    </cfRule>
    <cfRule type="expression" priority="9" dxfId="7">
      <formula>G2="Rework Required"</formula>
    </cfRule>
    <cfRule type="expression" priority="10" dxfId="7">
      <formula>G2="Delayed"</formula>
    </cfRule>
  </conditionalFormatting>
  <dataValidations count="1">
    <dataValidation sqref="E2:E273" showDropDown="0" showInputMessage="0" showErrorMessage="1" allowBlank="1" errorTitle="Controlled value" error="Choose a value from the list (controlled vocabulary)." type="list">
      <formula1>"Not Started,In Progress,Delayed,Done"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2026-09-23T05:43:41Z</dcterms:created>
  <dcterms:modified xsi:type="dcterms:W3CDTF">2026-09-23T05:43:41Z</dcterms:modified>
</cp:coreProperties>
</file>