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indings" sheetId="2" state="visible" r:id="rId2"/>
    <sheet name="Observations" sheetId="3" state="visible" r:id="rId3"/>
  </sheets>
  <definedNames>
    <definedName name="_xlnm._FilterDatabase" localSheetId="1" hidden="1">'Findings'!$A$1:$V$20</definedName>
    <definedName name="_xlnm._FilterDatabase" localSheetId="2" hidden="1">'Observations'!$A$1:$C$7</definedName>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Arial"/>
      <b val="1"/>
      <color rgb="001F4E5A"/>
      <sz val="14"/>
    </font>
    <font>
      <name val="Arial"/>
      <i val="1"/>
      <color rgb="00666666"/>
      <sz val="9"/>
    </font>
    <font>
      <name val="Arial"/>
      <b val="1"/>
      <sz val="10"/>
    </font>
    <font>
      <name val="Arial"/>
      <sz val="10"/>
    </font>
    <font>
      <name val="Arial"/>
      <color rgb="000000FF"/>
      <sz val="10"/>
    </font>
    <font>
      <name val="Arial"/>
      <b val="1"/>
      <color rgb="00FFFFFF"/>
      <sz val="10"/>
    </font>
    <font>
      <name val="Arial"/>
      <sz val="9"/>
    </font>
  </fonts>
  <fills count="4">
    <fill>
      <patternFill/>
    </fill>
    <fill>
      <patternFill patternType="gray125"/>
    </fill>
    <fill>
      <patternFill patternType="solid">
        <fgColor rgb="00FFF7D6"/>
      </patternFill>
    </fill>
    <fill>
      <patternFill patternType="solid">
        <fgColor rgb="001F4E5A"/>
      </patternFill>
    </fill>
  </fills>
  <borders count="2">
    <border>
      <left/>
      <right/>
      <top/>
      <bottom/>
      <diagonal/>
    </border>
    <border>
      <left style="thin">
        <color rgb="00C9D3D6"/>
      </left>
      <right style="thin">
        <color rgb="00C9D3D6"/>
      </right>
      <top style="thin">
        <color rgb="00C9D3D6"/>
      </top>
      <bottom style="thin">
        <color rgb="00C9D3D6"/>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5" fillId="2" borderId="0" pivotButton="0" quotePrefix="0" xfId="0"/>
    <xf numFmtId="0" fontId="4" fillId="0" borderId="0" pivotButton="0" quotePrefix="0" xfId="0"/>
    <xf numFmtId="0" fontId="4" fillId="0" borderId="0" applyAlignment="1" pivotButton="0" quotePrefix="0" xfId="0">
      <alignment vertical="top" wrapText="1"/>
    </xf>
    <xf numFmtId="0" fontId="6" fillId="3" borderId="1" applyAlignment="1" pivotButton="0" quotePrefix="0" xfId="0">
      <alignment vertical="center" wrapText="1"/>
    </xf>
    <xf numFmtId="0" fontId="7" fillId="0" borderId="1" applyAlignment="1" pivotButton="0" quotePrefix="0" xfId="0">
      <alignment vertical="top"/>
    </xf>
    <xf numFmtId="0" fontId="7" fillId="0" borderId="1" applyAlignment="1" pivotButton="0" quotePrefix="0" xfId="0">
      <alignment vertical="top" wrapText="1"/>
    </xf>
    <xf numFmtId="164" fontId="7" fillId="0" borderId="1" applyAlignment="1" pivotButton="0" quotePrefix="0" xfId="0">
      <alignment vertical="top"/>
    </xf>
  </cellXfs>
  <cellStyles count="1">
    <cellStyle name="Normal" xfId="0" builtinId="0" hidden="0"/>
  </cellStyles>
  <dxfs count="8">
    <dxf>
      <font>
        <name val="Arial"/>
        <b val="1"/>
        <color rgb="00FFFFFF"/>
      </font>
      <fill>
        <patternFill patternType="solid">
          <fgColor rgb="007A1020"/>
        </patternFill>
      </fill>
    </dxf>
    <dxf>
      <font>
        <name val="Arial"/>
        <b val="1"/>
        <color rgb="00FFFFFF"/>
      </font>
      <fill>
        <patternFill patternType="solid">
          <fgColor rgb="00E4572E"/>
        </patternFill>
      </fill>
    </dxf>
    <dxf>
      <font>
        <name val="Arial"/>
        <b val="1"/>
        <color rgb="001A1A1A"/>
      </font>
      <fill>
        <patternFill patternType="solid">
          <fgColor rgb="00F4B942"/>
        </patternFill>
      </fill>
    </dxf>
    <dxf>
      <font>
        <name val="Arial"/>
        <b val="1"/>
        <color rgb="00FFFFFF"/>
      </font>
      <fill>
        <patternFill patternType="solid">
          <fgColor rgb="005DA271"/>
        </patternFill>
      </fill>
    </dxf>
    <dxf>
      <fill>
        <patternFill patternType="solid">
          <fgColor rgb="00D9EFD8"/>
        </patternFill>
      </fill>
    </dxf>
    <dxf>
      <fill>
        <patternFill patternType="solid">
          <fgColor rgb="00F9D6CF"/>
        </patternFill>
      </fill>
    </dxf>
    <dxf>
      <fill>
        <patternFill patternType="solid">
          <fgColor rgb="00E6E0F3"/>
        </patternFill>
      </fill>
    </dxf>
    <dxf>
      <fill>
        <patternFill patternType="solid">
          <fgColor rgb="00FBE3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8" customWidth="1" min="1" max="1"/>
    <col width="110" customWidth="1" min="2" max="2"/>
  </cols>
  <sheetData>
    <row r="1">
      <c r="A1" s="1" t="inlineStr">
        <is>
          <t>Findings Register</t>
        </is>
      </c>
    </row>
    <row r="2">
      <c r="A2" s="2" t="inlineStr">
        <is>
          <t>Wrenfield Health (fictional) · simulated NIST SP 800-53 Rev. 5 (Release 5.2.0) assessment · synthetic data</t>
        </is>
      </c>
    </row>
    <row r="4">
      <c r="A4" s="3" t="inlineStr">
        <is>
          <t>As-of (status) date</t>
        </is>
      </c>
      <c r="B4" s="4" t="n">
        <v>46283</v>
      </c>
      <c r="C4" s="5" t="inlineStr">
        <is>
          <t>&lt;- input: all aging/overdue formulas reference this cell (use =TODAY() in a live workbook)</t>
        </is>
      </c>
    </row>
    <row r="6">
      <c r="A6" s="3" t="inlineStr">
        <is>
          <t>Format</t>
        </is>
      </c>
      <c r="B6" s="6" t="inlineStr">
        <is>
          <t>Audit '5 Cs': Condition (what we found), Criteria (the requirement), Cause (root cause), Effect (risk), Recommendation</t>
        </is>
      </c>
    </row>
    <row r="7">
      <c r="A7" s="3" t="inlineStr">
        <is>
          <t>Severity</t>
        </is>
      </c>
      <c r="B7" s="6" t="inlineStr">
        <is>
          <t>Live formula: band(Likelihood x Impact) at the level of the individual weakness (RSK-MTH-001 §10)</t>
        </is>
      </c>
    </row>
    <row r="8">
      <c r="A8" s="3" t="inlineStr">
        <is>
          <t>Communication</t>
        </is>
      </c>
      <c r="B8" s="6" t="inlineStr">
        <is>
          <t>Each finding also has an executive version (findings/findings-register.md)</t>
        </is>
      </c>
    </row>
    <row r="9">
      <c r="A9" s="3" t="inlineStr">
        <is>
          <t>Linkage</t>
        </is>
      </c>
      <c r="B9" s="6" t="inlineStr">
        <is>
          <t>FIND-nnn &lt;-&gt; POAM-nnn share numbers; every finding maps to &gt;= 1 control and &gt;= 1 enterprise risk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6" customWidth="1" min="4" max="4"/>
    <col width="16" customWidth="1" min="5" max="5"/>
    <col width="16" customWidth="1" min="6" max="6"/>
    <col width="16" customWidth="1" min="7" max="7"/>
    <col width="18" customWidth="1" min="8" max="8"/>
    <col width="16" customWidth="1" min="9" max="9"/>
    <col width="16" customWidth="1" min="10" max="10"/>
    <col width="16" customWidth="1" min="11" max="11"/>
    <col width="44" customWidth="1" min="12" max="12"/>
    <col width="16" customWidth="1" min="13" max="13"/>
    <col width="16" customWidth="1" min="14" max="14"/>
    <col width="16" customWidth="1" min="15" max="15"/>
    <col width="44" customWidth="1" min="16" max="16"/>
    <col width="44" customWidth="1" min="17" max="17"/>
    <col width="44" customWidth="1" min="18" max="18"/>
    <col width="44" customWidth="1" min="19" max="19"/>
    <col width="44" customWidth="1" min="20" max="20"/>
    <col width="44" customWidth="1" min="21" max="21"/>
    <col width="44" customWidth="1" min="22" max="22"/>
  </cols>
  <sheetData>
    <row r="1" ht="32" customHeight="1">
      <c r="A1" s="7" t="inlineStr">
        <is>
          <t>Finding ID</t>
        </is>
      </c>
      <c r="B1" s="7" t="inlineStr">
        <is>
          <t>Title</t>
        </is>
      </c>
      <c r="C1" s="7" t="inlineStr">
        <is>
          <t>Severity</t>
        </is>
      </c>
      <c r="D1" s="7" t="inlineStr">
        <is>
          <t>Likelihood</t>
        </is>
      </c>
      <c r="E1" s="7" t="inlineStr">
        <is>
          <t>Impact</t>
        </is>
      </c>
      <c r="F1" s="7" t="inlineStr">
        <is>
          <t>Score</t>
        </is>
      </c>
      <c r="G1" s="7" t="inlineStr">
        <is>
          <t>Primary Control</t>
        </is>
      </c>
      <c r="H1" s="7" t="inlineStr">
        <is>
          <t>Related Controls</t>
        </is>
      </c>
      <c r="I1" s="7" t="inlineStr">
        <is>
          <t>Related Risks</t>
        </is>
      </c>
      <c r="J1" s="7" t="inlineStr">
        <is>
          <t>POA&amp;M ID</t>
        </is>
      </c>
      <c r="K1" s="7" t="inlineStr">
        <is>
          <t>Source</t>
        </is>
      </c>
      <c r="L1" s="7" t="inlineStr">
        <is>
          <t>Related Items (AR-EX / VR / EVID)</t>
        </is>
      </c>
      <c r="M1" s="7" t="inlineStr">
        <is>
          <t>Date Identified</t>
        </is>
      </c>
      <c r="N1" s="7" t="inlineStr">
        <is>
          <t>Owner</t>
        </is>
      </c>
      <c r="O1" s="7" t="inlineStr">
        <is>
          <t>Status</t>
        </is>
      </c>
      <c r="P1" s="7" t="inlineStr">
        <is>
          <t>Condition</t>
        </is>
      </c>
      <c r="Q1" s="7" t="inlineStr">
        <is>
          <t>Criteria</t>
        </is>
      </c>
      <c r="R1" s="7" t="inlineStr">
        <is>
          <t>Cause</t>
        </is>
      </c>
      <c r="S1" s="7" t="inlineStr">
        <is>
          <t>Effect</t>
        </is>
      </c>
      <c r="T1" s="7" t="inlineStr">
        <is>
          <t>Recommendation</t>
        </is>
      </c>
      <c r="U1" s="7" t="inlineStr">
        <is>
          <t>Management Response</t>
        </is>
      </c>
      <c r="V1" s="7" t="inlineStr">
        <is>
          <t>Challenge Record</t>
        </is>
      </c>
    </row>
    <row r="2">
      <c r="A2" s="8" t="inlineStr">
        <is>
          <t>FIND-001</t>
        </is>
      </c>
      <c r="B2" s="9" t="inlineStr">
        <is>
          <t>Terminated workforce retained active access</t>
        </is>
      </c>
      <c r="C2" s="8">
        <f>IF(F2="","",IF(F2&gt;=20,"Critical",IF(F2&gt;=10,"High",IF(F2&gt;=5,"Moderate","Low"))))</f>
        <v/>
      </c>
      <c r="D2" s="8" t="n">
        <v>4</v>
      </c>
      <c r="E2" s="8" t="n">
        <v>4</v>
      </c>
      <c r="F2" s="8">
        <f>D2*E2</f>
        <v/>
      </c>
      <c r="G2" s="8" t="inlineStr">
        <is>
          <t>AC-2(3)</t>
        </is>
      </c>
      <c r="H2" s="8" t="inlineStr">
        <is>
          <t>AC-2(3); AC-2; AC-2(1); PS-4; PS-7</t>
        </is>
      </c>
      <c r="I2" s="8" t="inlineStr">
        <is>
          <t>RISK-002</t>
        </is>
      </c>
      <c r="J2" s="8" t="inlineStr">
        <is>
          <t>POAM-001</t>
        </is>
      </c>
      <c r="K2" s="8" t="inlineStr">
        <is>
          <t>Control test + access review</t>
        </is>
      </c>
      <c r="L2" s="9" t="inlineStr">
        <is>
          <t>AR-EX-01; AR-EX-02; AR-EX-03; AR-EX-04; VR-007; EVID-003; EVID-004; EVID-007; EVID-078</t>
        </is>
      </c>
      <c r="M2" s="10" t="n">
        <v>46209</v>
      </c>
      <c r="N2" s="8" t="inlineStr">
        <is>
          <t>Nadia Rahman (IAM Engineer)</t>
        </is>
      </c>
      <c r="O2" s="8" t="inlineStr">
        <is>
          <t>Closed</t>
        </is>
      </c>
      <c r="P2" s="9" t="inlineStr">
        <is>
          <t>2 of 19 workers terminated in H1 2026 were still enabled in Okta at the 2026-06-30 snapshot, and 1 more was disabled 9 days late. A terminated contractor signed in 4 days after the contract ended (INC-2026-0117). A local AWS IAM user with AdministratorAccess belonging to an employee terminated 2026-03-27 was still active 95 days later. A former employee still had a Quarrystone portal account (local authentication).</t>
        </is>
      </c>
      <c r="Q2" s="9" t="inlineStr">
        <is>
          <t>SHCA CSA §3.3 and ACP-002 §5.3 require disabling within 24 hours. HIPAA 164.308(a)(3)(ii)(C) requires termination procedures. The vendor SOC 2 CUEC requires Wrenfield to manage its portal users.</t>
        </is>
      </c>
      <c r="R2" s="9" t="inlineStr">
        <is>
          <t>De-provisioning depended on IT manually creating a ticket from an HR email, with no automated HR trigger (AC-2(1)). The offboarding checklist covered only Okta, not local accounts (AWS IAM users, wf-sftp-01, the vendor portal). Contract end dates were not enforced.</t>
        </is>
      </c>
      <c r="S2" s="9" t="inlineStr">
        <is>
          <t>Former workers could reach PHI systems (AWS admin) or financial systems (Ledgerline AP) after separation. One post-termination sign-in required a HIPAA breach risk assessment (outcome, low probability of compromise).</t>
        </is>
      </c>
      <c r="T2" s="9" t="inlineStr">
        <is>
          <t>Automate HR-driven de-provisioning or daily reconciliation with auto-ticketing. Eliminate or register all local accounts. Set expiry dates on contractor accounts. Add vendor portals to the JML checklist and pursue SSO for them.</t>
        </is>
      </c>
      <c r="U2" s="9" t="inlineStr">
        <is>
          <t>Agree. The CISO committed to automated reconciliation by 2026-08-21 and local-account cleanup by 2026-07-10.</t>
        </is>
      </c>
      <c r="V2" s="9" t="inlineStr"/>
    </row>
    <row r="3">
      <c r="A3" s="8" t="inlineStr">
        <is>
          <t>FIND-002</t>
        </is>
      </c>
      <c r="B3" s="9" t="inlineStr">
        <is>
          <t>MFA not enforced for all workforce and privileged accounts</t>
        </is>
      </c>
      <c r="C3" s="8">
        <f>IF(F3="","",IF(F3&gt;=20,"Critical",IF(F3&gt;=10,"High",IF(F3&gt;=5,"Moderate","Low"))))</f>
        <v/>
      </c>
      <c r="D3" s="8" t="n">
        <v>4</v>
      </c>
      <c r="E3" s="8" t="n">
        <v>4</v>
      </c>
      <c r="F3" s="8">
        <f>D3*E3</f>
        <v/>
      </c>
      <c r="G3" s="8" t="inlineStr">
        <is>
          <t>IA-2(1)</t>
        </is>
      </c>
      <c r="H3" s="8" t="inlineStr">
        <is>
          <t>IA-2(1); IA-2(2)</t>
        </is>
      </c>
      <c r="I3" s="8" t="inlineStr">
        <is>
          <t>RISK-003</t>
        </is>
      </c>
      <c r="J3" s="8" t="inlineStr">
        <is>
          <t>POAM-002</t>
        </is>
      </c>
      <c r="K3" s="8" t="inlineStr">
        <is>
          <t>Control test + access review</t>
        </is>
      </c>
      <c r="L3" s="9" t="inlineStr">
        <is>
          <t>AR-EX-11; EVID-010; EVID-011; EVID-007; EVID-063; EVID-064</t>
        </is>
      </c>
      <c r="M3" s="10" t="n">
        <v>46203</v>
      </c>
      <c r="N3" s="8" t="inlineStr">
        <is>
          <t>Nadia Rahman (IAM Engineer)</t>
        </is>
      </c>
      <c r="O3" s="8" t="inlineStr">
        <is>
          <t>Closed</t>
        </is>
      </c>
      <c r="P3" s="9" t="inlineStr">
        <is>
          <t>An Okta policy created in 2023 as a "temporary" workaround exempted the MFA-Exempt-Legacy group (11 accounts, 9 human) from MFA. One member was an Okta Super Administrator. None of the exemptions had approval or an expiry date. In AWS, the IAM user mfeld-admin (AdministratorAccess) had a console password and no MFA.</t>
        </is>
      </c>
      <c r="Q3" s="9" t="inlineStr">
        <is>
          <t>SHCA CSA §3.2 requires MFA for all privileged and remote access. HIPAA 164.312(d) requires person or entity authentication. ACP-002 §6.1 limits exceptions to 30 days with CISO approval.</t>
        </is>
      </c>
      <c r="R3" s="9" t="inlineStr">
        <is>
          <t>Exceptions were granted by help desk and IT without a workflow, an expiry, or review. Legacy IAM users bypass the Okta policy entirely.</t>
        </is>
      </c>
      <c r="S3" s="9" t="inlineStr">
        <is>
          <t>Password-only access to an identity administrator account put every downstream system at risk from a single phished password. This is the exact MFA concern raised in the Lakemont review.</t>
        </is>
      </c>
      <c r="T3" s="9" t="inlineStr">
        <is>
          <t>Remove the exemption policy and group. Enroll all members, with accommodation alternatives such as hardware keys. Convert service users to non-interactive integrations. Require phishing-resistant MFA for admin apps. Remove IAM users other than break-glass. Implement a time-bound exception workflow.</t>
        </is>
      </c>
      <c r="U3" s="9" t="inlineStr">
        <is>
          <t>Agree. Target 2026-09-05.</t>
        </is>
      </c>
      <c r="V3" s="9" t="inlineStr"/>
    </row>
    <row r="4">
      <c r="A4" s="8" t="inlineStr">
        <is>
          <t>FIND-003</t>
        </is>
      </c>
      <c r="B4" s="9" t="inlineStr">
        <is>
          <t>Excessive privileged access and administration from daily-use accounts</t>
        </is>
      </c>
      <c r="C4" s="8">
        <f>IF(F4="","",IF(F4&gt;=20,"Critical",IF(F4&gt;=10,"High",IF(F4&gt;=5,"Moderate","Low"))))</f>
        <v/>
      </c>
      <c r="D4" s="8" t="n">
        <v>3</v>
      </c>
      <c r="E4" s="8" t="n">
        <v>5</v>
      </c>
      <c r="F4" s="8">
        <f>D4*E4</f>
        <v/>
      </c>
      <c r="G4" s="8" t="inlineStr">
        <is>
          <t>AC-6(5)</t>
        </is>
      </c>
      <c r="H4" s="8" t="inlineStr">
        <is>
          <t>AC-6(5); AC-6; AC-6(2)</t>
        </is>
      </c>
      <c r="I4" s="8" t="inlineStr">
        <is>
          <t>RISK-001</t>
        </is>
      </c>
      <c r="J4" s="8" t="inlineStr">
        <is>
          <t>POAM-003</t>
        </is>
      </c>
      <c r="K4" s="8" t="inlineStr">
        <is>
          <t>Access review</t>
        </is>
      </c>
      <c r="L4" s="9" t="inlineStr">
        <is>
          <t>AR-EX-05; AR-EX-06; AR-EX-07; AR-EX-08; AR-EX-09; AR-EX-10; EVID-016; EVID-017; EVID-071; EVID-075; EVID-076; EVID-077</t>
        </is>
      </c>
      <c r="M4" s="10" t="n">
        <v>46213</v>
      </c>
      <c r="N4" s="8" t="inlineStr">
        <is>
          <t>Tomasz Wierzbicki (Director, Platform Engineering)</t>
        </is>
      </c>
      <c r="O4" s="8" t="inlineStr">
        <is>
          <t>In Progress</t>
        </is>
      </c>
      <c r="P4" s="9" t="inlineStr">
        <is>
          <t>Production AWS AdministratorAccess was held by 2 engineers outside the SRE role, including a 2024 'temporary' migration grant. GitHub had 5 organization owners against an approved maximum of 3. An IT Manager held Okta Super Administrator. A Data Engineer had write access to the PHI primary database. 2 of 3 authorized SRE admins used their email and browsing accounts for production administration, contrary to ACP-002 §5.4.</t>
        </is>
      </c>
      <c r="Q4" s="9" t="inlineStr">
        <is>
          <t>AC-6 and AC-6(5) least privilege. ACP-002 §5.4 separate admin accounts. SOC 2 CC6.3 commitment.</t>
        </is>
      </c>
      <c r="R4" s="9" t="inlineStr">
        <is>
          <t>Privileged grants have no expiry, and no privileged-access review existed before this assessment. The separate-admin-account policy (2025-07) was never rolled out.</t>
        </is>
      </c>
      <c r="S4" s="9" t="inlineStr">
        <is>
          <t>A compromised daily account, which is exposed to phishing and browsing, could immediately act as a production administrator over all PHI.</t>
        </is>
      </c>
      <c r="T4" s="9" t="inlineStr">
        <is>
          <t>Remove excess grants. Issue -adm accounts with phishing-resistant MFA. Introduce just-in-time (JIT), approval-gated elevation with automatic expiry for AWS admin. Enforce the GitHub owner cap.</t>
        </is>
      </c>
      <c r="U4" s="9" t="inlineStr">
        <is>
          <t>Agree. Engineering initially disputed the Data Engineer's need; resolved with time-boxed elevation. Target 2026-11-05.</t>
        </is>
      </c>
      <c r="V4" s="9" t="inlineStr"/>
    </row>
    <row r="5">
      <c r="A5" s="8" t="inlineStr">
        <is>
          <t>FIND-004</t>
        </is>
      </c>
      <c r="B5" s="9" t="inlineStr">
        <is>
          <t>Access recertification incomplete and ineffective (access creep)</t>
        </is>
      </c>
      <c r="C5" s="8">
        <f>IF(F5="","",IF(F5&gt;=20,"Critical",IF(F5&gt;=10,"High",IF(F5&gt;=5,"Moderate","Low"))))</f>
        <v/>
      </c>
      <c r="D5" s="8" t="n">
        <v>3</v>
      </c>
      <c r="E5" s="8" t="n">
        <v>3</v>
      </c>
      <c r="F5" s="8">
        <f>D5*E5</f>
        <v/>
      </c>
      <c r="G5" s="8" t="inlineStr">
        <is>
          <t>AC-6(7)</t>
        </is>
      </c>
      <c r="H5" s="8" t="inlineStr">
        <is>
          <t>AC-6(7); AC-2; PS-5</t>
        </is>
      </c>
      <c r="I5" s="8" t="inlineStr">
        <is>
          <t>RISK-004</t>
        </is>
      </c>
      <c r="J5" s="8" t="inlineStr">
        <is>
          <t>POAM-004</t>
        </is>
      </c>
      <c r="K5" s="8" t="inlineStr">
        <is>
          <t>Control test + access review</t>
        </is>
      </c>
      <c r="L5" s="9" t="inlineStr">
        <is>
          <t>AR-EX-12; AR-EX-13; AR-EX-14; EVID-008; EVID-009; EVID-044; EVID-074</t>
        </is>
      </c>
      <c r="M5" s="10" t="n">
        <v>46213</v>
      </c>
      <c r="N5" s="8" t="inlineStr">
        <is>
          <t>Alicia Moreno (CISO)</t>
        </is>
      </c>
      <c r="O5" s="8" t="inlineStr">
        <is>
          <t>In Progress</t>
        </is>
      </c>
      <c r="P5" s="9" t="inlineStr">
        <is>
          <t>Quarterly Okta certifications cover app assignments only. AWS, GitHub, database, and local accounts were never reviewed. In the Q1 campaign, 412 of 412 items were approved and 17 of 23 reviewers finished in under 5 minutes. The campaign approved a duplicate account (rgupta2) and a transferred user's prior-role PHI access, which that user used after the transfer. One user kept production access unused for 240 days.</t>
        </is>
      </c>
      <c r="Q5" s="9" t="inlineStr">
        <is>
          <t>SHCA CSA §3.3 requires quarterly privileged recertification. HIPAA 164.308(a)(4)(ii)(C). AC-6(7). PS-5.</t>
        </is>
      </c>
      <c r="R5" s="9" t="inlineStr">
        <is>
          <t>Campaign scope is limited to what the Okta certification feature can see. Reviewers get no usage data or risk flags. Transfers do not trigger an access re-baseline.</t>
        </is>
      </c>
      <c r="S5" s="9" t="inlineStr">
        <is>
          <t>Access accumulates beyond need, which undermines least privilege and raises insider and compromise impact.</t>
        </is>
      </c>
      <c r="T5" s="9" t="inlineStr">
        <is>
          <t>Expand campaigns to all privileged and PHI entitlements across the 9 systems. Give reviewers last-used dates and role-baseline deviations (the review engine output). Require a rationale for approving flagged items. Add a transfer-triggered re-certification.</t>
        </is>
      </c>
      <c r="U5" s="9" t="inlineStr">
        <is>
          <t>Agree. The Q3 campaign is being run on the new design; its results are due 2026-09-30.</t>
        </is>
      </c>
      <c r="V5" s="9" t="inlineStr"/>
    </row>
    <row r="6">
      <c r="A6" s="8" t="inlineStr">
        <is>
          <t>FIND-005</t>
        </is>
      </c>
      <c r="B6" s="9" t="inlineStr">
        <is>
          <t>Service and shared accounts lack ownership, credential rotation, and individual accountability</t>
        </is>
      </c>
      <c r="C6" s="8">
        <f>IF(F6="","",IF(F6&gt;=20,"Critical",IF(F6&gt;=10,"High",IF(F6&gt;=5,"Moderate","Low"))))</f>
        <v/>
      </c>
      <c r="D6" s="8" t="n">
        <v>3</v>
      </c>
      <c r="E6" s="8" t="n">
        <v>3</v>
      </c>
      <c r="F6" s="8">
        <f>D6*E6</f>
        <v/>
      </c>
      <c r="G6" s="8" t="inlineStr">
        <is>
          <t>IA-5</t>
        </is>
      </c>
      <c r="H6" s="8" t="inlineStr">
        <is>
          <t>IA-5; AC-2</t>
        </is>
      </c>
      <c r="I6" s="8" t="inlineStr">
        <is>
          <t>RISK-017</t>
        </is>
      </c>
      <c r="J6" s="8" t="inlineStr">
        <is>
          <t>POAM-005</t>
        </is>
      </c>
      <c r="K6" s="8" t="inlineStr">
        <is>
          <t>Access review</t>
        </is>
      </c>
      <c r="L6" s="9" t="inlineStr">
        <is>
          <t>AR-EX-18; AR-EX-19; AR-EX-20; EVID-013; EVID-065</t>
        </is>
      </c>
      <c r="M6" s="10" t="n">
        <v>46212</v>
      </c>
      <c r="N6" s="8" t="inlineStr">
        <is>
          <t>Nadia Rahman (IAM Engineer)</t>
        </is>
      </c>
      <c r="O6" s="8" t="inlineStr">
        <is>
          <t>Closed</t>
        </is>
      </c>
      <c r="P6" s="9" t="inlineStr">
        <is>
          <t>Of 13 non-human accounts: 2 had no documented owner (svc-quarrystone-sftp, whose SSH key was 811 days old and which pushes the nightly PHI extract; svc-reporting-etl, an IAM user with a 539-day static access key created by a now-terminated employee). The MDR vendor used a single shared login to the EDR console, so containment actions could not be attributed to individual analysts.</t>
        </is>
      </c>
      <c r="Q6" s="9" t="inlineStr">
        <is>
          <t>IA-5 (refresh authenticators; the Wrenfield standard is 365 days). AC-2 (account managers for every account). ACP-002 §4.2 (no shared accounts).</t>
        </is>
      </c>
      <c r="R6" s="9" t="inlineStr">
        <is>
          <t>The service-account register had no owner or rotation fields. Vendor access was set up for convenience during MDR onboarding.</t>
        </is>
      </c>
      <c r="S6" s="9" t="inlineStr">
        <is>
          <t>Long-lived secrets increase the chance of undetected credential theft, and orphaned accounts are not monitored by anyone.</t>
        </is>
      </c>
      <c r="T6" s="9" t="inlineStr">
        <is>
          <t>Assign owners. Rotate or federate credentials (IAM roles, OIDC). Replace the shared vendor login with named federated accounts. Add owner and rotation fields and quarterly attestation to the register.</t>
        </is>
      </c>
      <c r="U6" s="9" t="inlineStr">
        <is>
          <t>Agree. Target 2026-09-12.</t>
        </is>
      </c>
      <c r="V6" s="9" t="inlineStr"/>
    </row>
    <row r="7">
      <c r="A7" s="8" t="inlineStr">
        <is>
          <t>FIND-006</t>
        </is>
      </c>
      <c r="B7" s="9" t="inlineStr">
        <is>
          <t>Contractor access not bound to engagement term and scope</t>
        </is>
      </c>
      <c r="C7" s="8">
        <f>IF(F7="","",IF(F7&gt;=20,"Critical",IF(F7&gt;=10,"High",IF(F7&gt;=5,"Moderate","Low"))))</f>
        <v/>
      </c>
      <c r="D7" s="8" t="n">
        <v>2</v>
      </c>
      <c r="E7" s="8" t="n">
        <v>4</v>
      </c>
      <c r="F7" s="8">
        <f>D7*E7</f>
        <v/>
      </c>
      <c r="G7" s="8" t="inlineStr">
        <is>
          <t>PS-7</t>
        </is>
      </c>
      <c r="H7" s="8" t="inlineStr">
        <is>
          <t>PS-7; AC-2</t>
        </is>
      </c>
      <c r="I7" s="8" t="inlineStr">
        <is>
          <t>RISK-002; RISK-004</t>
        </is>
      </c>
      <c r="J7" s="8" t="inlineStr">
        <is>
          <t>POAM-006</t>
        </is>
      </c>
      <c r="K7" s="8" t="inlineStr">
        <is>
          <t>Access review</t>
        </is>
      </c>
      <c r="L7" s="9" t="inlineStr">
        <is>
          <t>AR-EX-15; AR-EX-16; EVID-045; EVID-066</t>
        </is>
      </c>
      <c r="M7" s="10" t="n">
        <v>46211</v>
      </c>
      <c r="N7" s="8" t="inlineStr">
        <is>
          <t>Sofia Ricci (Engineering Manager)</t>
        </is>
      </c>
      <c r="O7" s="8" t="inlineStr">
        <is>
          <t>Closed</t>
        </is>
      </c>
      <c r="P7" s="9" t="inlineStr">
        <is>
          <t>One contractor remained active 22 days past the recorded contract end date while working under an extension that had not been documented. The same contractor had PHI production database access that the QA SOW did not require (QA uses staging with synthetic data).</t>
        </is>
      </c>
      <c r="Q7" s="9" t="inlineStr">
        <is>
          <t>PS-7 (external personnel requirements and monitoring). ACP-002 §5.3 (contractor end dates enforced). Minimum necessary (HIPAA 164.502(b)).</t>
        </is>
      </c>
      <c r="R7" s="9" t="inlineStr">
        <is>
          <t>Contractor end dates were not enforced in Okta, and access requests were not checked against SOW scope.</t>
        </is>
      </c>
      <c r="S7" s="9" t="inlineStr">
        <is>
          <t>Contractor access can outlive or exceed the engagement, which increases PHI exposure through third-party personnel.</t>
        </is>
      </c>
      <c r="T7" s="9" t="inlineStr">
        <is>
          <t>Set Okta account expiry equal to the SOW end date. Require SOW scope on contractor access requests. Send a monthly contractor roster to sponsors.</t>
        </is>
      </c>
      <c r="U7" s="9" t="inlineStr">
        <is>
          <t>Agree. Target 2026-09-10.</t>
        </is>
      </c>
      <c r="V7" s="9" t="inlineStr"/>
    </row>
    <row r="8">
      <c r="A8" s="8" t="inlineStr">
        <is>
          <t>FIND-007</t>
        </is>
      </c>
      <c r="B8" s="9" t="inlineStr">
        <is>
          <t>Segregation-of-duties conflict in vendor payment process</t>
        </is>
      </c>
      <c r="C8" s="8">
        <f>IF(F8="","",IF(F8&gt;=20,"Critical",IF(F8&gt;=10,"High",IF(F8&gt;=5,"Moderate","Low"))))</f>
        <v/>
      </c>
      <c r="D8" s="8" t="n">
        <v>2</v>
      </c>
      <c r="E8" s="8" t="n">
        <v>3</v>
      </c>
      <c r="F8" s="8">
        <f>D8*E8</f>
        <v/>
      </c>
      <c r="G8" s="8" t="inlineStr">
        <is>
          <t>AC-5</t>
        </is>
      </c>
      <c r="H8" s="8" t="inlineStr">
        <is>
          <t>AC-5</t>
        </is>
      </c>
      <c r="I8" s="8" t="inlineStr">
        <is>
          <t>RISK-013</t>
        </is>
      </c>
      <c r="J8" s="8" t="inlineStr">
        <is>
          <t>POAM-007</t>
        </is>
      </c>
      <c r="K8" s="8" t="inlineStr">
        <is>
          <t>Access review</t>
        </is>
      </c>
      <c r="L8" s="9" t="inlineStr">
        <is>
          <t>AR-EX-17; EVID-014; EVID-015; EVID-060</t>
        </is>
      </c>
      <c r="M8" s="10" t="n">
        <v>46213</v>
      </c>
      <c r="N8" s="8" t="inlineStr">
        <is>
          <t>Laura Brenneman (Controller)</t>
        </is>
      </c>
      <c r="O8" s="8" t="inlineStr">
        <is>
          <t>Risk Accepted</t>
        </is>
      </c>
      <c r="P8" s="9" t="inlineStr">
        <is>
          <t>The Senior Accountant can both maintain vendor master data (including bank details) and approve payments up to $25,000 (SOD-01). A compensating control, a monthly vendor-master change report reviewed by the Controller, operated 6 of 6 months, but it was never formally documented as a risk decision.</t>
        </is>
      </c>
      <c r="Q8" s="9" t="inlineStr">
        <is>
          <t>AC-5. Wrenfield internal-control policy (Board-approved) on payment SoD.</t>
        </is>
      </c>
      <c r="R8" s="9" t="inlineStr">
        <is>
          <t>The finance team shrank to three people after the AP Specialist left in 2026-05. Duties were consolidated temporarily.</t>
        </is>
      </c>
      <c r="S8" s="9" t="inlineStr">
        <is>
          <t>A single person could create or alter a vendor and approve payment to it, up to $25,000 per transaction.</t>
        </is>
      </c>
      <c r="T8" s="9" t="inlineStr">
        <is>
          <t>Formally accept the risk with the compensating control and an expiry date, and redesign roles when the AP role is backfilled. Keep the callback verification of bank-detail changes.</t>
        </is>
      </c>
      <c r="U8" s="9" t="inlineStr">
        <is>
          <t>Agree. RACC-001 signed by the CFO (risk owner) with CISO concurrence on 2026-08-12, expiring 2027-03-31.</t>
        </is>
      </c>
      <c r="V8" s="9" t="inlineStr"/>
    </row>
    <row r="9">
      <c r="A9" s="8" t="inlineStr">
        <is>
          <t>FIND-008</t>
        </is>
      </c>
      <c r="B9" s="9" t="inlineStr">
        <is>
          <t>Audit log retention below the 12-month contractual requirement</t>
        </is>
      </c>
      <c r="C9" s="8">
        <f>IF(F9="","",IF(F9&gt;=20,"Critical",IF(F9&gt;=10,"High",IF(F9&gt;=5,"Moderate","Low"))))</f>
        <v/>
      </c>
      <c r="D9" s="8" t="n">
        <v>3</v>
      </c>
      <c r="E9" s="8" t="n">
        <v>3</v>
      </c>
      <c r="F9" s="8">
        <f>D9*E9</f>
        <v/>
      </c>
      <c r="G9" s="8" t="inlineStr">
        <is>
          <t>AU-11</t>
        </is>
      </c>
      <c r="H9" s="8" t="inlineStr">
        <is>
          <t>AU-11</t>
        </is>
      </c>
      <c r="I9" s="8" t="inlineStr">
        <is>
          <t>RISK-005</t>
        </is>
      </c>
      <c r="J9" s="8" t="inlineStr">
        <is>
          <t>POAM-008</t>
        </is>
      </c>
      <c r="K9" s="8" t="inlineStr">
        <is>
          <t>Control test</t>
        </is>
      </c>
      <c r="L9" s="9" t="inlineStr">
        <is>
          <t>EVID-024; EVID-067</t>
        </is>
      </c>
      <c r="M9" s="10" t="n">
        <v>46198</v>
      </c>
      <c r="N9" s="8" t="inlineStr">
        <is>
          <t>Owen Castillo (Security Engineer)</t>
        </is>
      </c>
      <c r="O9" s="8" t="inlineStr">
        <is>
          <t>Closed</t>
        </is>
      </c>
      <c r="P9" s="9" t="inlineStr">
        <is>
          <t>CloudTrail logs expired after 180 days. Application audit logs recording PHI access (who viewed which patient) were kept 90 days. SIEM hot retention was 90 days.</t>
        </is>
      </c>
      <c r="Q9" s="9" t="inlineStr">
        <is>
          <t>SHCA CSA §4.1 requires 12 months (90 days searchable). HIPAA 164.312(b) audit controls. Customers' breach investigations need historical PHI-access records.</t>
        </is>
      </c>
      <c r="R9" s="9" t="inlineStr">
        <is>
          <t>Retention was set in 2022 for cost reasons, before contractual requirements existed, and was never revisited.</t>
        </is>
      </c>
      <c r="S9" s="9" t="inlineStr">
        <is>
          <t>If a breach were discovered late, which is common, Wrenfield could not show which patients' records were accessed. That could force broader breach notifications than necessary and would breach the SHCA contract.</t>
        </is>
      </c>
      <c r="T9" s="9" t="inlineStr">
        <is>
          <t>Extend retention to 400 days via lifecycle tiering. Archive application audit logs to the log-archive account. Keep 90 days searchable in the SIEM. Add a quarterly oldest-record check.</t>
        </is>
      </c>
      <c r="U9" s="9" t="inlineStr">
        <is>
          <t>Agree. Target 2026-09-15.</t>
        </is>
      </c>
      <c r="V9" s="9" t="inlineStr"/>
    </row>
    <row r="10">
      <c r="A10" s="8" t="inlineStr">
        <is>
          <t>FIND-009</t>
        </is>
      </c>
      <c r="B10" s="9" t="inlineStr">
        <is>
          <t>Privileged-activity log reviews not consistently performed or documented</t>
        </is>
      </c>
      <c r="C10" s="8">
        <f>IF(F10="","",IF(F10&gt;=20,"Critical",IF(F10&gt;=10,"High",IF(F10&gt;=5,"Moderate","Low"))))</f>
        <v/>
      </c>
      <c r="D10" s="8" t="n">
        <v>3</v>
      </c>
      <c r="E10" s="8" t="n">
        <v>3</v>
      </c>
      <c r="F10" s="8">
        <f>D10*E10</f>
        <v/>
      </c>
      <c r="G10" s="8" t="inlineStr">
        <is>
          <t>AU-6</t>
        </is>
      </c>
      <c r="H10" s="8" t="inlineStr">
        <is>
          <t>AU-6</t>
        </is>
      </c>
      <c r="I10" s="8" t="inlineStr">
        <is>
          <t>RISK-005</t>
        </is>
      </c>
      <c r="J10" s="8" t="inlineStr">
        <is>
          <t>POAM-009</t>
        </is>
      </c>
      <c r="K10" s="8" t="inlineStr">
        <is>
          <t>Control test</t>
        </is>
      </c>
      <c r="L10" s="9" t="inlineStr">
        <is>
          <t>EVID-022; EVID-072</t>
        </is>
      </c>
      <c r="M10" s="10" t="n">
        <v>46199</v>
      </c>
      <c r="N10" s="8" t="inlineStr">
        <is>
          <t>Owen Castillo (Security Engineer)</t>
        </is>
      </c>
      <c r="O10" s="8" t="inlineStr">
        <is>
          <t>In Progress</t>
        </is>
      </c>
      <c r="P10" s="9" t="inlineStr">
        <is>
          <t>The weekly privileged-activity review was performed in 19 of 26 weeks and fully effective in 17 of 26 (65%). Missed weeks coincided with a SIEM migration and reviewer PTO. Two reviews were marked "Reviewed" with flagged items left undispositioned. The review scope excluded local AWS IAM users.</t>
        </is>
      </c>
      <c r="Q10" s="9" t="inlineStr">
        <is>
          <t>AU-6. LMS-004 §6 weekly review. HIPAA 164.308(a)(1)(ii)(D) information system activity review.</t>
        </is>
      </c>
      <c r="R10" s="9" t="inlineStr">
        <is>
          <t>The review depends on one person with no backup reviewer, no escalation when a week is missed, and a report scope defined before local IAM users were known.</t>
        </is>
      </c>
      <c r="S10" s="9" t="inlineStr">
        <is>
          <t>Misuse of privileged access, such as an admin creating a backdoor account, could go unnoticed for weeks.</t>
        </is>
      </c>
      <c r="T10" s="9" t="inlineStr">
        <is>
          <t>Name a backup reviewer (the MDR under an SOW change). Auto-create the weekly ticket with escalation after 5 business days. Expand scope to all privileged principals. Require a disposition per flagged item.</t>
        </is>
      </c>
      <c r="U10" s="9" t="inlineStr">
        <is>
          <t>Agree. Committed 2026-09-15; the MDR SOW change was delayed in procurement.</t>
        </is>
      </c>
      <c r="V10" s="9" t="inlineStr"/>
    </row>
    <row r="11">
      <c r="A11" s="8" t="inlineStr">
        <is>
          <t>FIND-010</t>
        </is>
      </c>
      <c r="B11" s="9" t="inlineStr">
        <is>
          <t>Vulnerability remediation exceeds contractual SLAs</t>
        </is>
      </c>
      <c r="C11" s="8">
        <f>IF(F11="","",IF(F11&gt;=20,"Critical",IF(F11&gt;=10,"High",IF(F11&gt;=5,"Moderate","Low"))))</f>
        <v/>
      </c>
      <c r="D11" s="8" t="n">
        <v>3</v>
      </c>
      <c r="E11" s="8" t="n">
        <v>4</v>
      </c>
      <c r="F11" s="8">
        <f>D11*E11</f>
        <v/>
      </c>
      <c r="G11" s="8" t="inlineStr">
        <is>
          <t>SI-2</t>
        </is>
      </c>
      <c r="H11" s="8" t="inlineStr">
        <is>
          <t>SI-2</t>
        </is>
      </c>
      <c r="I11" s="8" t="inlineStr">
        <is>
          <t>RISK-006</t>
        </is>
      </c>
      <c r="J11" s="8" t="inlineStr">
        <is>
          <t>POAM-010</t>
        </is>
      </c>
      <c r="K11" s="8" t="inlineStr">
        <is>
          <t>Control test</t>
        </is>
      </c>
      <c r="L11" s="9" t="inlineStr">
        <is>
          <t>EVID-048; OBS-02; OBS-04</t>
        </is>
      </c>
      <c r="M11" s="10" t="n">
        <v>46202</v>
      </c>
      <c r="N11" s="8" t="inlineStr">
        <is>
          <t>Grace Lindqvist (VP Engineering)</t>
        </is>
      </c>
      <c r="O11" s="8" t="inlineStr">
        <is>
          <t>In Progress</t>
        </is>
      </c>
      <c r="P11" s="9" t="inlineStr">
        <is>
          <t>14 of 61 (23%) Critical and High vulnerabilities in H1 exceeded SLA. 6 remained open past SLA at 2026-06-30, including 2 Critical in the notify-worker container (end-of-life Node.js 16 and OpenSSL 1.1.1). 4 of the 6 are on unsupported hosts where no patch exists. No risk exceptions were filed. Engineering asserts the 2 Critical items are unreachable.</t>
        </is>
      </c>
      <c r="Q11" s="9" t="inlineStr">
        <is>
          <t>SHCA CSA §7.1 (Critical 15 days, High 30 days). VM-003 §5 SLAs and §7 exception process.</t>
        </is>
      </c>
      <c r="R11" s="9" t="inlineStr">
        <is>
          <t>End-of-life runtimes block patching, and the exception process is not used. Remediation work competes with feature work without SLA visibility. 7% of resources are untagged, which delays scan scoping.</t>
        </is>
      </c>
      <c r="S11" s="9" t="inlineStr">
        <is>
          <t>Known exploitable weaknesses stay open longer than allowed, which increases the chance of compromise and breaches the contract.</t>
        </is>
      </c>
      <c r="T11" s="9" t="inlineStr">
        <is>
          <t>Upgrade the notify-worker runtime. File documented exceptions with reachability analysis where they are justified. Add SLA dashboards to engineering planning. Enforce tag policy. Consider SI-2(7) root-cause analysis (new in Release 5.2.0) for repeat SLA misses.</t>
        </is>
      </c>
      <c r="U11" s="9" t="inlineStr">
        <is>
          <t>Partially agree. Engineering disputes the 2 Critical ratings (no network-reachable path) but agrees the exception process must be used. Target 2026-11-05.</t>
        </is>
      </c>
      <c r="V11" s="9" t="inlineStr">
        <is>
          <t>Assessor position: exploitability may justify an exception, but only through the documented VM-003 §7 process with evidence (reachability analysis, compensating controls, CISO approval, and an expiry). An assertion in a meeting is not evidence. The determination stands. Management accepted this approach, and an exception request with reachability analysis is milestone M1.</t>
        </is>
      </c>
    </row>
    <row r="12">
      <c r="A12" s="8" t="inlineStr">
        <is>
          <t>FIND-011</t>
        </is>
      </c>
      <c r="B12" s="9" t="inlineStr">
        <is>
          <t>Unsupported software components in the PHI data path</t>
        </is>
      </c>
      <c r="C12" s="8">
        <f>IF(F12="","",IF(F12&gt;=20,"Critical",IF(F12&gt;=10,"High",IF(F12&gt;=5,"Moderate","Low"))))</f>
        <v/>
      </c>
      <c r="D12" s="8" t="n">
        <v>3</v>
      </c>
      <c r="E12" s="8" t="n">
        <v>4</v>
      </c>
      <c r="F12" s="8">
        <f>D12*E12</f>
        <v/>
      </c>
      <c r="G12" s="8" t="inlineStr">
        <is>
          <t>SA-22</t>
        </is>
      </c>
      <c r="H12" s="8" t="inlineStr">
        <is>
          <t>SA-22</t>
        </is>
      </c>
      <c r="I12" s="8" t="inlineStr">
        <is>
          <t>RISK-007</t>
        </is>
      </c>
      <c r="J12" s="8" t="inlineStr">
        <is>
          <t>POAM-011</t>
        </is>
      </c>
      <c r="K12" s="8" t="inlineStr">
        <is>
          <t>Control test</t>
        </is>
      </c>
      <c r="L12" s="9" t="inlineStr">
        <is>
          <t>EVID-052; EVID-048; VR-012</t>
        </is>
      </c>
      <c r="M12" s="10" t="n">
        <v>46199</v>
      </c>
      <c r="N12" s="8" t="inlineStr">
        <is>
          <t>Tomasz Wierzbicki (Director, Platform Engineering)</t>
        </is>
      </c>
      <c r="O12" s="8" t="inlineStr">
        <is>
          <t>Delayed</t>
        </is>
      </c>
      <c r="P12" s="9" t="inlineStr">
        <is>
          <t>Three components are past vendor or community support: wf-sftp-01 (Windows Server 2012 R2, which pushes the nightly full-PHI extract to Quarrystone and receives 4 customer file drops), legacy-reports (PostgreSQL 11, which holds a PHI extract for monthly outcome reports), and notify-worker (Node.js 16). No SHCA-approved exception exists.</t>
        </is>
      </c>
      <c r="Q12" s="9" t="inlineStr">
        <is>
          <t>SHCA CSA §7.4 (supported software only). SA-22.</t>
        </is>
      </c>
      <c r="R12" s="9" t="inlineStr">
        <is>
          <t>Legacy integration components were never included in the platform modernization, and there is no lifecycle review of non-IaC assets.</t>
        </is>
      </c>
      <c r="S12" s="9" t="inlineStr">
        <is>
          <t>Security flaws in these components will never be patched. They account for 4 of the 6 open past-SLA vulnerabilities.</t>
        </is>
      </c>
      <c r="T12" s="9" t="inlineStr">
        <is>
          <t>Avoid the risk: replace wf-sftp-01 with a managed transfer service (encrypted, IaC-managed), migrate legacy-reports to the supported Aurora replica, and upgrade notify-worker. Keep compensating controls until then (EDR, allowlist, weekly scans, SSM-only admin).</t>
        </is>
      </c>
      <c r="U12" s="9" t="inlineStr">
        <is>
          <t>Agree. Target 2026-11-05. Milestone 2 (SFTP migration) slipped from 2026-09-15 because 2 of 4 customers had not completed partner-side key exchange. Revised target 2026-12-15, approved by the CTO on 2026-09-12.</t>
        </is>
      </c>
      <c r="V12" s="9" t="inlineStr"/>
    </row>
    <row r="13">
      <c r="A13" s="8" t="inlineStr">
        <is>
          <t>FIND-012</t>
        </is>
      </c>
      <c r="B13" s="9" t="inlineStr">
        <is>
          <t>Internet-exposed RDP on legacy host; CSPM alert not triaged</t>
        </is>
      </c>
      <c r="C13" s="8">
        <f>IF(F13="","",IF(F13&gt;=20,"Critical",IF(F13&gt;=10,"High",IF(F13&gt;=5,"Moderate","Low"))))</f>
        <v/>
      </c>
      <c r="D13" s="8" t="n">
        <v>4</v>
      </c>
      <c r="E13" s="8" t="n">
        <v>4</v>
      </c>
      <c r="F13" s="8">
        <f>D13*E13</f>
        <v/>
      </c>
      <c r="G13" s="8" t="inlineStr">
        <is>
          <t>SC-7</t>
        </is>
      </c>
      <c r="H13" s="8" t="inlineStr">
        <is>
          <t>SC-7; CM-6</t>
        </is>
      </c>
      <c r="I13" s="8" t="inlineStr">
        <is>
          <t>RISK-012; RISK-007</t>
        </is>
      </c>
      <c r="J13" s="8" t="inlineStr">
        <is>
          <t>POAM-012</t>
        </is>
      </c>
      <c r="K13" s="8" t="inlineStr">
        <is>
          <t>Control test</t>
        </is>
      </c>
      <c r="L13" s="9" t="inlineStr">
        <is>
          <t>EVID-053; EVID-028; EVID-068; EVID-030</t>
        </is>
      </c>
      <c r="M13" s="10" t="n">
        <v>46205</v>
      </c>
      <c r="N13" s="8" t="inlineStr">
        <is>
          <t>Tomasz Wierzbicki (Director, Platform Engineering)</t>
        </is>
      </c>
      <c r="O13" s="8" t="inlineStr">
        <is>
          <t>Closed</t>
        </is>
      </c>
      <c r="P13" s="9" t="inlineStr">
        <is>
          <t>The security group for wf-sftp-01 allowed RDP (TCP 3389) from 0.0.0.0/0 for 43 days. It was added under emergency change CHG-2026-0412 for a vendor support session, never approved, and never reverted. AWS Security Hub flagged it as High the next day, but no one triaged it. No successful external RDP logons were found (Windows event 4624 logon type 10 reviewed).</t>
        </is>
      </c>
      <c r="Q13" s="9" t="inlineStr">
        <is>
          <t>SC-7 boundary protection. CM-6 deviation approval. CMP-006 emergency change rules. The Security Hub triage standard (High within 7 days).</t>
        </is>
      </c>
      <c r="R13" s="9" t="inlineStr">
        <is>
          <t>The console change path bypasses IaC and approvals. Security Hub findings were not routed to the SRE on-call queue.</t>
        </is>
      </c>
      <c r="S13" s="9" t="inlineStr">
        <is>
          <t>An unsupported Windows server holding PHI extracts was exposed to internet-wide RDP brute-force and exploitation.</t>
        </is>
      </c>
      <c r="T13" s="9" t="inlineStr">
        <is>
          <t>Remove the rule (done within 24h). Route Security Hub High findings to on-call with an SLA. Add an SCP or guardrail that blocks 0.0.0.0/0 on admin ports. Tie emergency changes to automatic revert.</t>
        </is>
      </c>
      <c r="U13" s="9" t="inlineStr">
        <is>
          <t>Agree. Remediated 2026-07-03 and validated 2026-07-10.</t>
        </is>
      </c>
      <c r="V13" s="9" t="inlineStr"/>
    </row>
    <row r="14">
      <c r="A14" s="8" t="inlineStr">
        <is>
          <t>FIND-013</t>
        </is>
      </c>
      <c r="B14" s="9" t="inlineStr">
        <is>
          <t>Backup restoration never tested</t>
        </is>
      </c>
      <c r="C14" s="8">
        <f>IF(F14="","",IF(F14&gt;=20,"Critical",IF(F14&gt;=10,"High",IF(F14&gt;=5,"Moderate","Low"))))</f>
        <v/>
      </c>
      <c r="D14" s="8" t="n">
        <v>2</v>
      </c>
      <c r="E14" s="8" t="n">
        <v>4</v>
      </c>
      <c r="F14" s="8">
        <f>D14*E14</f>
        <v/>
      </c>
      <c r="G14" s="8" t="inlineStr">
        <is>
          <t>CP-9(1)</t>
        </is>
      </c>
      <c r="H14" s="8" t="inlineStr">
        <is>
          <t>CP-9(1)</t>
        </is>
      </c>
      <c r="I14" s="8" t="inlineStr">
        <is>
          <t>RISK-008</t>
        </is>
      </c>
      <c r="J14" s="8" t="inlineStr">
        <is>
          <t>POAM-013</t>
        </is>
      </c>
      <c r="K14" s="8" t="inlineStr">
        <is>
          <t>Control test</t>
        </is>
      </c>
      <c r="L14" s="9" t="inlineStr">
        <is>
          <t>EVID-035; EVID-069</t>
        </is>
      </c>
      <c r="M14" s="10" t="n">
        <v>46199</v>
      </c>
      <c r="N14" s="8" t="inlineStr">
        <is>
          <t>Tomasz Wierzbicki (Director, Platform Engineering)</t>
        </is>
      </c>
      <c r="O14" s="8" t="inlineStr">
        <is>
          <t>Closed</t>
        </is>
      </c>
      <c r="P14" s="9" t="inlineStr">
        <is>
          <t>Backups are taken, protected, and copied cross-region (CP-9 satisfied), but no restore of the PHI database had ever been performed or documented. Backup job success was treated as proof of recoverability.</t>
        </is>
      </c>
      <c r="Q14" s="9" t="inlineStr">
        <is>
          <t>CP-9(1). SHCA CSA §8.1 (tested restoration annually). HIPAA 164.308(a)(7)(ii)(D).</t>
        </is>
      </c>
      <c r="R14" s="9" t="inlineStr">
        <is>
          <t>Recovery was assumed rather than tested. There was no scheduled restore exercise in the BC/DR plan.</t>
        </is>
      </c>
      <c r="S14" s="9" t="inlineStr">
        <is>
          <t>In a ransomware or corruption event, recovery time and completeness were unknown. RTO and RPO were promises, not demonstrated capabilities.</t>
        </is>
      </c>
      <c r="T14" s="9" t="inlineStr">
        <is>
          <t>Perform and document a restore from the DR vault into an isolated account, with timings and integrity checks. Schedule it semi-annually.</t>
        </is>
      </c>
      <c r="U14" s="9" t="inlineStr">
        <is>
          <t>Agree. Target 2026-09-01.</t>
        </is>
      </c>
      <c r="V14" s="9" t="inlineStr"/>
    </row>
    <row r="15">
      <c r="A15" s="8" t="inlineStr">
        <is>
          <t>FIND-014</t>
        </is>
      </c>
      <c r="B15" s="9" t="inlineStr">
        <is>
          <t>Incident response and contingency plans not tested within 12 months</t>
        </is>
      </c>
      <c r="C15" s="8">
        <f>IF(F15="","",IF(F15&gt;=20,"Critical",IF(F15&gt;=10,"High",IF(F15&gt;=5,"Moderate","Low"))))</f>
        <v/>
      </c>
      <c r="D15" s="8" t="n">
        <v>3</v>
      </c>
      <c r="E15" s="8" t="n">
        <v>3</v>
      </c>
      <c r="F15" s="8">
        <f>D15*E15</f>
        <v/>
      </c>
      <c r="G15" s="8" t="inlineStr">
        <is>
          <t>IR-3</t>
        </is>
      </c>
      <c r="H15" s="8" t="inlineStr">
        <is>
          <t>IR-3; CP-4</t>
        </is>
      </c>
      <c r="I15" s="8" t="inlineStr">
        <is>
          <t>RISK-009; RISK-008</t>
        </is>
      </c>
      <c r="J15" s="8" t="inlineStr">
        <is>
          <t>POAM-014</t>
        </is>
      </c>
      <c r="K15" s="8" t="inlineStr">
        <is>
          <t>Control test</t>
        </is>
      </c>
      <c r="L15" s="9" t="inlineStr">
        <is>
          <t>EVID-033; EVID-037; OBS-03</t>
        </is>
      </c>
      <c r="M15" s="10" t="n">
        <v>46199</v>
      </c>
      <c r="N15" s="8" t="inlineStr">
        <is>
          <t>Owen Castillo (Security Engineer)</t>
        </is>
      </c>
      <c r="O15" s="8" t="inlineStr">
        <is>
          <t>In Progress</t>
        </is>
      </c>
      <c r="P15" s="9" t="inlineStr">
        <is>
          <t>The last IR tabletop was 2024-09-18, 21 months before fieldwork. There has been no plan-level contingency test (only 2024 engineering failover notes). The SHCA 24-hour incident-reporting path and the IR contact roster (2 departed staff) have never been exercised or validated.</t>
        </is>
      </c>
      <c r="Q15" s="9" t="inlineStr">
        <is>
          <t>IR-3, CP-4, IRP-005 and BCP-003 (annual testing), SHCA CSA §5.2 and §8.1.</t>
        </is>
      </c>
      <c r="R15" s="9" t="inlineStr">
        <is>
          <t>Exercises were deferred twice for delivery priorities, with no escalation.</t>
        </is>
      </c>
      <c r="S15" s="9" t="inlineStr">
        <is>
          <t>Roles, decision rights, and notification timelines are untested. Real incidents were handled well (IR-4), but a major ransomware event would test untested paths.</t>
        </is>
      </c>
      <c r="T15" s="9" t="inlineStr">
        <is>
          <t>Run a combined ransomware tabletop (IR + CP) including MDR, Legal/Privacy, Customer Ops, and executives. Update IRP-005 with the SHCA 24h step and the current roster. Track after-action items in the POA&amp;M.</t>
        </is>
      </c>
      <c r="U15" s="9" t="inlineStr">
        <is>
          <t>Agree. Tabletop scheduled 2026-10-14. Target 2026-11-15.</t>
        </is>
      </c>
      <c r="V15" s="9" t="inlineStr"/>
    </row>
    <row r="16">
      <c r="A16" s="8" t="inlineStr">
        <is>
          <t>FIND-015</t>
        </is>
      </c>
      <c r="B16" s="9" t="inlineStr">
        <is>
          <t>Third-party risk monitoring incomplete; no C-SCRM plan</t>
        </is>
      </c>
      <c r="C16" s="8">
        <f>IF(F16="","",IF(F16&gt;=20,"Critical",IF(F16&gt;=10,"High",IF(F16&gt;=5,"Moderate","Low"))))</f>
        <v/>
      </c>
      <c r="D16" s="8" t="n">
        <v>3</v>
      </c>
      <c r="E16" s="8" t="n">
        <v>3</v>
      </c>
      <c r="F16" s="8">
        <f>D16*E16</f>
        <v/>
      </c>
      <c r="G16" s="8" t="inlineStr">
        <is>
          <t>SR-6</t>
        </is>
      </c>
      <c r="H16" s="8" t="inlineStr">
        <is>
          <t>SR-6; SA-9; SR-2</t>
        </is>
      </c>
      <c r="I16" s="8" t="inlineStr">
        <is>
          <t>RISK-011; RISK-010</t>
        </is>
      </c>
      <c r="J16" s="8" t="inlineStr">
        <is>
          <t>POAM-015</t>
        </is>
      </c>
      <c r="K16" s="8" t="inlineStr">
        <is>
          <t>Control test (vendor program)</t>
        </is>
      </c>
      <c r="L16" s="9" t="inlineStr">
        <is>
          <t>EVID-049; EVID-059</t>
        </is>
      </c>
      <c r="M16" s="10" t="n">
        <v>46220</v>
      </c>
      <c r="N16" s="8" t="inlineStr">
        <is>
          <t>Beth Kowalski (Vendor Management Lead)</t>
        </is>
      </c>
      <c r="O16" s="8" t="inlineStr">
        <is>
          <t>In Progress</t>
        </is>
      </c>
      <c r="P16" s="9" t="inlineStr">
        <is>
          <t>5 of 14 Tier 1–2 vendors (36%) lack a current assessment, including Tier 1 Pulsewire Connect (last 2024-08) and Ironpeak MDR (never assessed after onboarding). No fourth-party (subcontractor) inventory exists. There is no supply chain risk management plan (outline only). 3 older contracts lack breach-notification timelines.</t>
        </is>
      </c>
      <c r="Q16" s="9" t="inlineStr">
        <is>
          <t>SA-9, SR-6 (reassess at tier frequency), SR-2, TPRM-007, SHCA CSA §6.3 subcontractor inventory.</t>
        </is>
      </c>
      <c r="R16" s="9" t="inlineStr">
        <is>
          <t>Vendor management is one person, part time. Reassessment is spreadsheet-tracked with no reminders, and the program was not resourced as the vendor count grew.</t>
        </is>
      </c>
      <c r="S16" s="9" t="inlineStr">
        <is>
          <t>Vendor risks can drift unnoticed, as the Quarrystone offshore access (FIND-016) shows.</t>
        </is>
      </c>
      <c r="T16" s="9" t="inlineStr">
        <is>
          <t>Clear the overdue assessments (Tier 1 first). Build a fourth-party inventory from vendor questionnaires. Approve a C-SCRM plan aligned to SP 800-161r1-upd1 and SP 800-18r2. Add contract-renewal triggers.</t>
        </is>
      </c>
      <c r="U16" s="9" t="inlineStr">
        <is>
          <t>Agree. Target 2027-02-03 (Moderate SLA), with Tier 1 vendors by 2026-11-30.</t>
        </is>
      </c>
      <c r="V16" s="9" t="inlineStr"/>
    </row>
    <row r="17">
      <c r="A17" s="8" t="inlineStr">
        <is>
          <t>FIND-016</t>
        </is>
      </c>
      <c r="B17" s="9" t="inlineStr">
        <is>
          <t>Quarrystone Analytics: offshore PHI access, inadequate breach-notification terms, and excessive data sharing</t>
        </is>
      </c>
      <c r="C17" s="8">
        <f>IF(F17="","",IF(F17&gt;=20,"Critical",IF(F17&gt;=10,"High",IF(F17&gt;=5,"Moderate","Low"))))</f>
        <v/>
      </c>
      <c r="D17" s="8" t="n">
        <v>3</v>
      </c>
      <c r="E17" s="8" t="n">
        <v>5</v>
      </c>
      <c r="F17" s="8">
        <f>D17*E17</f>
        <v/>
      </c>
      <c r="G17" s="8" t="inlineStr">
        <is>
          <t>SA-9</t>
        </is>
      </c>
      <c r="H17" s="8" t="inlineStr">
        <is>
          <t>SA-9; SR-6</t>
        </is>
      </c>
      <c r="I17" s="8" t="inlineStr">
        <is>
          <t>RISK-010</t>
        </is>
      </c>
      <c r="J17" s="8" t="inlineStr">
        <is>
          <t>POAM-016</t>
        </is>
      </c>
      <c r="K17" s="8" t="inlineStr">
        <is>
          <t>Vendor assessment</t>
        </is>
      </c>
      <c r="L17" s="9" t="inlineStr">
        <is>
          <t>VR-001; VR-002; VR-003; VR-004; VR-005; VR-008; VR-010; EVID-050; EVID-051; EVID-073</t>
        </is>
      </c>
      <c r="M17" s="10" t="n">
        <v>46220</v>
      </c>
      <c r="N17" s="8" t="inlineStr">
        <is>
          <t>Dr. Miriam Castell (VP Clinical Analytics, business owner)</t>
        </is>
      </c>
      <c r="O17" s="8" t="inlineStr">
        <is>
          <t>In Progress</t>
        </is>
      </c>
      <c r="P17" s="9" t="inlineStr">
        <is>
          <t>Quarrystone receives a nightly full-PHI extract (about 410k patients). (1) An undisclosed offshore subcontractor (Pune, India) had production access to Wrenfield PHI (VR-001, rated Critical, escalated to the CEO 2026-07-17; interim suspension confirmed 2026-07-24). (2) The BAA allows 30-day breach notice, against Wrenfield's 24h SHCA and 5-business-day customer obligations (VR-002). (3) The extract includes fields not needed for scoring: full address, phone, email, free-text notes (VR-003). Supporting issues: pentest evidence stale, data return undefined, secondary-use ambiguity.</t>
        </is>
      </c>
      <c r="Q17" s="9" t="inlineStr">
        <is>
          <t>SHCA CSA §6.1 (US-only) and §6.3 (flow-down). HIPAA 164.502(b) minimum necessary and 164.314(a). 2 customer BAAs prohibit offshore access. SA-9.</t>
        </is>
      </c>
      <c r="R17" s="9" t="inlineStr">
        <is>
          <t>The contract was signed in 2023 on the vendor's paper before TPRM-007 existed. The questionnaire relied on self-attestation. Data minimization was never designed into the extract.</t>
        </is>
      </c>
      <c r="S17" s="9" t="inlineStr">
        <is>
          <t>Potential breach of 2 current customer BAAs and a blocking condition for SHCA. A breach at the vendor could go unreported to Wrenfield for up to 30 days.</t>
        </is>
      </c>
      <c r="T17" s="9" t="inlineStr">
        <is>
          <t>Conditional continuation (Mitigate + Transfer): execute the amendment (US-only access with technical enforcement, 24h notification, subcontractor approval, data return and destruction within 30 days with a certificate, log cooperation). Minimize the extract to scoring-required fields with tokenized identifiers. Obtain a current pentest and retest. Do not send SHCA data until the conditions are met.</t>
        </is>
      </c>
      <c r="U17" s="9" t="inlineStr">
        <is>
          <t>Agree. The CEO approved conditional continuation on 2026-07-22. The amendment is in redline v3. Target 2026-11-05.</t>
        </is>
      </c>
      <c r="V17" s="9" t="inlineStr"/>
    </row>
    <row r="18">
      <c r="A18" s="8" t="inlineStr">
        <is>
          <t>FIND-017</t>
        </is>
      </c>
      <c r="B18" s="9" t="inlineStr">
        <is>
          <t>System security plan outdated and overstates control implementation</t>
        </is>
      </c>
      <c r="C18" s="8">
        <f>IF(F18="","",IF(F18&gt;=20,"Critical",IF(F18&gt;=10,"High",IF(F18&gt;=5,"Moderate","Low"))))</f>
        <v/>
      </c>
      <c r="D18" s="8" t="n">
        <v>2</v>
      </c>
      <c r="E18" s="8" t="n">
        <v>2</v>
      </c>
      <c r="F18" s="8">
        <f>D18*E18</f>
        <v/>
      </c>
      <c r="G18" s="8" t="inlineStr">
        <is>
          <t>PL-2</t>
        </is>
      </c>
      <c r="H18" s="8" t="inlineStr">
        <is>
          <t>PL-2</t>
        </is>
      </c>
      <c r="I18" s="8" t="inlineStr">
        <is>
          <t>RISK-016</t>
        </is>
      </c>
      <c r="J18" s="8" t="inlineStr">
        <is>
          <t>POAM-017</t>
        </is>
      </c>
      <c r="K18" s="8" t="inlineStr">
        <is>
          <t>Control test</t>
        </is>
      </c>
      <c r="L18" s="9" t="inlineStr">
        <is>
          <t>EVID-041; OBS-01</t>
        </is>
      </c>
      <c r="M18" s="10" t="n">
        <v>46217</v>
      </c>
      <c r="N18" s="8" t="inlineStr">
        <is>
          <t>Priya Raman (Security Compliance Manager)</t>
        </is>
      </c>
      <c r="O18" s="8" t="inlineStr">
        <is>
          <t>In Progress</t>
        </is>
      </c>
      <c r="P18" s="9" t="inlineStr">
        <is>
          <t>SSP v1.3 (2025-02) predates the EKS migration, the log-archive account, and the Quarrystone SFTP flow, and it states a higher implementation status than testing supports for 27 of the 61 in-scope controls.</t>
        </is>
      </c>
      <c r="Q18" s="9" t="inlineStr">
        <is>
          <t>PL-2. SHCA CSA §2.1 (current SSP expected with the assessment package).</t>
        </is>
      </c>
      <c r="R18" s="9" t="inlineStr">
        <is>
          <t>The SSP was maintained as a SOC 2 narrative, with no update trigger tied to architecture changes.</t>
        </is>
      </c>
      <c r="S18" s="9" t="inlineStr">
        <is>
          <t>SHCA and customers would receive an inaccurate description of the system, a credibility and contractual risk rather than a direct technical one.</t>
        </is>
      </c>
      <c r="T18" s="9" t="inlineStr">
        <is>
          <t>Rewrite the SSP in control-by-control form using this matrix as the source. Adopt the SP 800-18 Rev. 2 structure. Add architecture-change triggers to the change process.</t>
        </is>
      </c>
      <c r="U18" s="9" t="inlineStr">
        <is>
          <t>Agree. Target 2026-12-15.</t>
        </is>
      </c>
      <c r="V18" s="9" t="inlineStr"/>
    </row>
    <row r="19">
      <c r="A19" s="8" t="inlineStr">
        <is>
          <t>FIND-018</t>
        </is>
      </c>
      <c r="B19" s="9" t="inlineStr">
        <is>
          <t>Emergency and console changes bypass approval</t>
        </is>
      </c>
      <c r="C19" s="8">
        <f>IF(F19="","",IF(F19&gt;=20,"Critical",IF(F19&gt;=10,"High",IF(F19&gt;=5,"Moderate","Low"))))</f>
        <v/>
      </c>
      <c r="D19" s="8" t="n">
        <v>3</v>
      </c>
      <c r="E19" s="8" t="n">
        <v>3</v>
      </c>
      <c r="F19" s="8">
        <f>D19*E19</f>
        <v/>
      </c>
      <c r="G19" s="8" t="inlineStr">
        <is>
          <t>CM-3</t>
        </is>
      </c>
      <c r="H19" s="8" t="inlineStr">
        <is>
          <t>CM-3</t>
        </is>
      </c>
      <c r="I19" s="8" t="inlineStr">
        <is>
          <t>RISK-014</t>
        </is>
      </c>
      <c r="J19" s="8" t="inlineStr">
        <is>
          <t>POAM-018</t>
        </is>
      </c>
      <c r="K19" s="8" t="inlineStr">
        <is>
          <t>Control test</t>
        </is>
      </c>
      <c r="L19" s="9" t="inlineStr">
        <is>
          <t>EVID-030</t>
        </is>
      </c>
      <c r="M19" s="10" t="n">
        <v>46202</v>
      </c>
      <c r="N19" s="8" t="inlineStr">
        <is>
          <t>Tomasz Wierzbicki (Director, Platform Engineering)</t>
        </is>
      </c>
      <c r="O19" s="8" t="inlineStr">
        <is>
          <t>In Progress</t>
        </is>
      </c>
      <c r="P19" s="9" t="inlineStr">
        <is>
          <t>3 of 25 sampled changes failed. CHG-2026-0412 (emergency, no approval, never reverted, which caused FIND-012). CHG-2026-0288 (retro approval after 9 business days against a standard of 2). CHG-2026-0356 (deployed 5h38m before approval was recorded). 2 of the 3 emergency changes in the sample failed.</t>
        </is>
      </c>
      <c r="Q19" s="9" t="inlineStr">
        <is>
          <t>CM-3. CMP-006 §4.3. SOC 2 CC8.1 commitment.</t>
        </is>
      </c>
      <c r="R19" s="9" t="inlineStr">
        <is>
          <t>The code pipeline enforces review, but the console and emergency paths rely on people remembering. No report flags emergency changes awaiting retro approval.</t>
        </is>
      </c>
      <c r="S19" s="9" t="inlineStr">
        <is>
          <t>Unreviewed changes can introduce outages or security regressions, as FIND-012 shows.</t>
        </is>
      </c>
      <c r="T19" s="9" t="inlineStr">
        <is>
          <t>Auto-open a retro-approval task on every emergency change with a 2-day escalation. Alert on console changes to security groups and IAM (CloudTrail + EventBridge). Require approval before the deploy job runs.</t>
        </is>
      </c>
      <c r="U19" s="9" t="inlineStr">
        <is>
          <t>Agree. Committed 2026-09-11. Milestone 1 is done; milestones 2 and 3 are waiting on an SRE backlog slot.</t>
        </is>
      </c>
      <c r="V19" s="9" t="inlineStr"/>
    </row>
    <row r="20">
      <c r="A20" s="8" t="inlineStr">
        <is>
          <t>FIND-019</t>
        </is>
      </c>
      <c r="B20" s="9" t="inlineStr">
        <is>
          <t>Security awareness training completion below 100%</t>
        </is>
      </c>
      <c r="C20" s="8">
        <f>IF(F20="","",IF(F20&gt;=20,"Critical",IF(F20&gt;=10,"High",IF(F20&gt;=5,"Moderate","Low"))))</f>
        <v/>
      </c>
      <c r="D20" s="8" t="n">
        <v>2</v>
      </c>
      <c r="E20" s="8" t="n">
        <v>2</v>
      </c>
      <c r="F20" s="8">
        <f>D20*E20</f>
        <v/>
      </c>
      <c r="G20" s="8" t="inlineStr">
        <is>
          <t>AT-2</t>
        </is>
      </c>
      <c r="H20" s="8" t="inlineStr">
        <is>
          <t>AT-2</t>
        </is>
      </c>
      <c r="I20" s="8" t="inlineStr">
        <is>
          <t>RISK-015</t>
        </is>
      </c>
      <c r="J20" s="8" t="inlineStr">
        <is>
          <t>POAM-019</t>
        </is>
      </c>
      <c r="K20" s="8" t="inlineStr">
        <is>
          <t>Control test</t>
        </is>
      </c>
      <c r="L20" s="9" t="inlineStr">
        <is>
          <t>EVID-019; EVID-070</t>
        </is>
      </c>
      <c r="M20" s="10" t="n">
        <v>46199</v>
      </c>
      <c r="N20" s="8" t="inlineStr">
        <is>
          <t>Denise Yamamoto (Director of People)</t>
        </is>
      </c>
      <c r="O20" s="8" t="inlineStr">
        <is>
          <t>Completed – Pending Validation</t>
        </is>
      </c>
      <c r="P20" s="9" t="inlineStr">
        <is>
          <t>316 of 347 workforce members (91%) completed annual training. 31 were overdue, 4 of them with PHI data-store access. The policy's access-suspension step for users more than 30 days overdue was not enforced.</t>
        </is>
      </c>
      <c r="Q20" s="9" t="inlineStr">
        <is>
          <t>AT-2. HIPAA 164.308(a)(5)(i). Training policy HR-011.</t>
        </is>
      </c>
      <c r="R20" s="9" t="inlineStr">
        <is>
          <t>Overdue reminders went to users only, with no manager escalation or enforcement.</t>
        </is>
      </c>
      <c r="S20" s="9" t="inlineStr">
        <is>
          <t>A small increase in phishing and data-handling risk. Mainly a compliance gap.</t>
        </is>
      </c>
      <c r="T20" s="9" t="inlineStr">
        <is>
          <t>Enforce the suspension step via an Okta group rule. Escalate to managers at 14 days. Report completion monthly.</t>
        </is>
      </c>
      <c r="U20" s="9" t="inlineStr">
        <is>
          <t>Agree. Enforcement live 2026-08-20; 344 of 347 complete as of 2026-09-12, with 3 on leave.</t>
        </is>
      </c>
      <c r="V20" s="9" t="inlineStr"/>
    </row>
  </sheetData>
  <autoFilter ref="A1:V20"/>
  <conditionalFormatting sqref="C2:C220">
    <cfRule type="expression" priority="1" dxfId="0">
      <formula>C2="Critical"</formula>
    </cfRule>
    <cfRule type="expression" priority="2" dxfId="1">
      <formula>C2="High"</formula>
    </cfRule>
    <cfRule type="expression" priority="3" dxfId="2">
      <formula>C2="Moderate"</formula>
    </cfRule>
    <cfRule type="expression" priority="4" dxfId="3">
      <formula>C2="Low"</formula>
    </cfRule>
  </conditionalFormatting>
  <conditionalFormatting sqref="O2:O220">
    <cfRule type="expression" priority="5" dxfId="4">
      <formula>O2="Satisfied"</formula>
    </cfRule>
    <cfRule type="expression" priority="6" dxfId="5">
      <formula>O2="Other Than Satisfied"</formula>
    </cfRule>
    <cfRule type="expression" priority="7" dxfId="4">
      <formula>O2="Closed"</formula>
    </cfRule>
    <cfRule type="expression" priority="8" dxfId="4">
      <formula>O2="Accepted"</formula>
    </cfRule>
    <cfRule type="expression" priority="9" dxfId="6">
      <formula>O2="Risk Accepted"</formula>
    </cfRule>
    <cfRule type="expression" priority="10" dxfId="5">
      <formula>O2="Overdue"</formula>
    </cfRule>
    <cfRule type="expression" priority="11" dxfId="5">
      <formula>O2="Yes"</formula>
    </cfRule>
    <cfRule type="expression" priority="12" dxfId="5">
      <formula>O2="Insufficient"</formula>
    </cfRule>
    <cfRule type="expression" priority="13" dxfId="7">
      <formula>O2="Rework Required"</formula>
    </cfRule>
    <cfRule type="expression" priority="14" dxfId="7">
      <formula>O2="Delayed"</formula>
    </cfRule>
  </conditionalFormatting>
  <dataValidations count="1">
    <dataValidation sqref="O2:O220" showDropDown="0" showInputMessage="0" showErrorMessage="1" allowBlank="1" errorTitle="Controlled value" error="Choose a value from the list (controlled vocabulary)." type="list">
      <formula1>"Open,In Progress,Delayed,Completed – Pending Validation,Closed,Risk Accepted"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10" customWidth="1" min="3" max="3"/>
  </cols>
  <sheetData>
    <row r="1" ht="32" customHeight="1">
      <c r="A1" s="7" t="inlineStr">
        <is>
          <t>Observation ID</t>
        </is>
      </c>
      <c r="B1" s="7" t="inlineStr">
        <is>
          <t>Control</t>
        </is>
      </c>
      <c r="C1" s="7" t="inlineStr">
        <is>
          <t>Observation</t>
        </is>
      </c>
    </row>
    <row r="2">
      <c r="A2" s="8" t="inlineStr">
        <is>
          <t>OBS-01</t>
        </is>
      </c>
      <c r="B2" s="8" t="inlineStr">
        <is>
          <t>AC-1</t>
        </is>
      </c>
      <c r="C2" s="9" t="inlineStr">
        <is>
          <t>Access Control Policy annual review overdue by about 5 months; draft v3.2 in approval. Recommend: approve by 2026-10-31 and add a policy-review calendar to the GRC tracker.</t>
        </is>
      </c>
    </row>
    <row r="3">
      <c r="A3" s="8" t="inlineStr">
        <is>
          <t>OBS-02</t>
        </is>
      </c>
      <c r="B3" s="8" t="inlineStr">
        <is>
          <t>CM-8</t>
        </is>
      </c>
      <c r="C3" s="9" t="inlineStr">
        <is>
          <t>7% of EC2/EKS resources lack owner tags, delaying host-scan coverage by 1-3 weeks. Recommend: enforce tag policy with an SCP deny on untagged launches (tracked as POAM-010 milestone M4).</t>
        </is>
      </c>
    </row>
    <row r="4">
      <c r="A4" s="8" t="inlineStr">
        <is>
          <t>OBS-03</t>
        </is>
      </c>
      <c r="B4" s="8" t="inlineStr">
        <is>
          <t>IR-8</t>
        </is>
      </c>
      <c r="C4" s="9" t="inlineStr">
        <is>
          <t>IR plan contact roster lists 2 departed staff and lacks the SHCA 24h notification step. Addressed in POAM-014 milestone M1.</t>
        </is>
      </c>
    </row>
    <row r="5">
      <c r="A5" s="8" t="inlineStr">
        <is>
          <t>OBS-04</t>
        </is>
      </c>
      <c r="B5" s="8" t="inlineStr">
        <is>
          <t>SI-2</t>
        </is>
      </c>
      <c r="C5" s="9" t="inlineStr">
        <is>
          <t>SI-02(07) Root Cause Analysis (new in SP 800-53 Release 5.2.0; not in the Moderate baseline) recommended as optional FY27 tailoring given repeated patch-SLA misses on container base images.</t>
        </is>
      </c>
    </row>
    <row r="6">
      <c r="A6" s="8" t="inlineStr">
        <is>
          <t>OBS-05</t>
        </is>
      </c>
      <c r="B6" s="8" t="inlineStr">
        <is>
          <t>CA-7</t>
        </is>
      </c>
      <c r="C6" s="9" t="inlineStr">
        <is>
          <t>No written ISCM strategy, although monitoring operates. Recommend: document the strategy using the metric definitions in dashboard/metric-definitions.md as the starting point.</t>
        </is>
      </c>
    </row>
    <row r="7">
      <c r="A7" s="8" t="inlineStr">
        <is>
          <t>OBS-06</t>
        </is>
      </c>
      <c r="B7" s="8" t="inlineStr">
        <is>
          <t>PM-9</t>
        </is>
      </c>
      <c r="C7" s="9" t="inlineStr">
        <is>
          <t>Risk appetite statement lacks explicit third-party risk tolerance (for example, maximum Tier 1 vendors overdue for reassessment). Recommend adding it at the next Board review.</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2026-09-23T05:36:28Z</dcterms:created>
  <dcterms:modified xsi:type="dcterms:W3CDTF">2026-09-23T05:36:28Z</dcterms:modified>
</cp:coreProperties>
</file>